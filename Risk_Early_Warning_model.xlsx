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urag\Desktop\Abhi\New folder\"/>
    </mc:Choice>
  </mc:AlternateContent>
  <xr:revisionPtr revIDLastSave="0" documentId="13_ncr:1_{846444C5-0AD2-42AF-9A4B-5DDF51233422}" xr6:coauthVersionLast="47" xr6:coauthVersionMax="47" xr10:uidLastSave="{00000000-0000-0000-0000-000000000000}"/>
  <bookViews>
    <workbookView xWindow="-110" yWindow="-110" windowWidth="19420" windowHeight="10300" tabRatio="709" activeTab="1" xr2:uid="{ABE18CA4-1C3C-4A8D-B7F7-DC9CE3897DC1}"/>
  </bookViews>
  <sheets>
    <sheet name="Indicators" sheetId="2" r:id="rId1"/>
    <sheet name="Assets" sheetId="4" r:id="rId2"/>
    <sheet name="Normalisation" sheetId="7" r:id="rId3"/>
    <sheet name="Risk Score" sheetId="8" r:id="rId4"/>
    <sheet name="Stress Returns" sheetId="11" r:id="rId5"/>
    <sheet name="Portfolio Allocation" sheetId="10" r:id="rId6"/>
    <sheet name="Backtesting" sheetId="13" r:id="rId7"/>
    <sheet name="Monte Carlo (Actual)" sheetId="14" r:id="rId8"/>
    <sheet name="Monte Carlo (EWS)" sheetId="15" r:id="rId9"/>
    <sheet name="Summary" sheetId="16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6" l="1"/>
  <c r="B10" i="16"/>
  <c r="C9" i="16"/>
  <c r="B9" i="16"/>
  <c r="C8" i="16"/>
  <c r="B8" i="16"/>
  <c r="C7" i="16"/>
  <c r="B7" i="16"/>
  <c r="B6" i="16" l="1"/>
  <c r="B5" i="16"/>
  <c r="B4" i="16"/>
  <c r="B3" i="16"/>
  <c r="C2" i="16"/>
  <c r="B2" i="16"/>
  <c r="I13" i="13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2" i="13"/>
  <c r="P7" i="11"/>
  <c r="P6" i="11"/>
  <c r="P5" i="11"/>
  <c r="P4" i="11"/>
  <c r="O7" i="11"/>
  <c r="O6" i="11"/>
  <c r="O5" i="11"/>
  <c r="O4" i="11"/>
  <c r="N7" i="11"/>
  <c r="N6" i="11"/>
  <c r="N5" i="11"/>
  <c r="N4" i="11"/>
  <c r="M7" i="11"/>
  <c r="M6" i="11"/>
  <c r="M5" i="11"/>
  <c r="M4" i="11"/>
  <c r="L12" i="11" s="1"/>
  <c r="L7" i="11"/>
  <c r="L6" i="11"/>
  <c r="L5" i="11"/>
  <c r="L4" i="11"/>
  <c r="K7" i="11"/>
  <c r="N15" i="11" s="1"/>
  <c r="K6" i="11"/>
  <c r="N14" i="11" s="1"/>
  <c r="K5" i="11"/>
  <c r="N13" i="11" s="1"/>
  <c r="K4" i="11"/>
  <c r="I33" i="4"/>
  <c r="M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B14" i="15" l="1" a="1"/>
  <c r="CP14" i="14" a="1"/>
  <c r="CP14" i="14" s="1"/>
  <c r="CD14" i="14" a="1"/>
  <c r="CD14" i="14" s="1"/>
  <c r="BR14" i="14" a="1"/>
  <c r="BR14" i="14" s="1"/>
  <c r="BF14" i="14" a="1"/>
  <c r="BF14" i="14" s="1"/>
  <c r="AT14" i="14" a="1"/>
  <c r="AT14" i="14" s="1"/>
  <c r="AH14" i="14" a="1"/>
  <c r="AH14" i="14" s="1"/>
  <c r="V14" i="14" a="1"/>
  <c r="V14" i="14" s="1"/>
  <c r="J14" i="14" a="1"/>
  <c r="J14" i="14" s="1"/>
  <c r="CO14" i="14" a="1"/>
  <c r="CO14" i="14" s="1"/>
  <c r="CC14" i="14" a="1"/>
  <c r="CC14" i="14" s="1"/>
  <c r="BQ14" i="14" a="1"/>
  <c r="BQ14" i="14" s="1"/>
  <c r="BE14" i="14" a="1"/>
  <c r="BE14" i="14" s="1"/>
  <c r="AS14" i="14" a="1"/>
  <c r="AS14" i="14" s="1"/>
  <c r="AG14" i="14" a="1"/>
  <c r="AG14" i="14" s="1"/>
  <c r="U14" i="14" a="1"/>
  <c r="U14" i="14" s="1"/>
  <c r="I14" i="14" a="1"/>
  <c r="I14" i="14" s="1"/>
  <c r="CS14" i="14" a="1"/>
  <c r="CS14" i="14" s="1"/>
  <c r="CM14" i="14" a="1"/>
  <c r="CM14" i="14" s="1"/>
  <c r="CG14" i="14" a="1"/>
  <c r="CG14" i="14" s="1"/>
  <c r="CA14" i="14" a="1"/>
  <c r="CA14" i="14" s="1"/>
  <c r="BU14" i="14" a="1"/>
  <c r="BU14" i="14" s="1"/>
  <c r="BO14" i="14" a="1"/>
  <c r="BO14" i="14" s="1"/>
  <c r="BI14" i="14" a="1"/>
  <c r="BI14" i="14" s="1"/>
  <c r="BC14" i="14" a="1"/>
  <c r="BC14" i="14" s="1"/>
  <c r="AW14" i="14" a="1"/>
  <c r="AW14" i="14" s="1"/>
  <c r="AQ14" i="14" a="1"/>
  <c r="AQ14" i="14" s="1"/>
  <c r="AK14" i="14" a="1"/>
  <c r="AK14" i="14" s="1"/>
  <c r="AE14" i="14" a="1"/>
  <c r="AE14" i="14" s="1"/>
  <c r="Y14" i="14" a="1"/>
  <c r="Y14" i="14" s="1"/>
  <c r="S14" i="14" a="1"/>
  <c r="S14" i="14" s="1"/>
  <c r="M14" i="14" a="1"/>
  <c r="M14" i="14" s="1"/>
  <c r="G14" i="14" a="1"/>
  <c r="G14" i="14" s="1"/>
  <c r="CV14" i="14" a="1"/>
  <c r="CV14" i="14" s="1"/>
  <c r="CJ14" i="14" a="1"/>
  <c r="CJ14" i="14" s="1"/>
  <c r="BX14" i="14" a="1"/>
  <c r="BX14" i="14" s="1"/>
  <c r="BL14" i="14" a="1"/>
  <c r="BL14" i="14" s="1"/>
  <c r="AZ14" i="14" a="1"/>
  <c r="AZ14" i="14" s="1"/>
  <c r="AN14" i="14" a="1"/>
  <c r="AN14" i="14" s="1"/>
  <c r="AB14" i="14" a="1"/>
  <c r="AB14" i="14" s="1"/>
  <c r="P14" i="14" a="1"/>
  <c r="P14" i="14" s="1"/>
  <c r="D14" i="14" a="1"/>
  <c r="D14" i="14" s="1"/>
  <c r="CU14" i="14" a="1"/>
  <c r="CU14" i="14" s="1"/>
  <c r="CI14" i="14" a="1"/>
  <c r="CI14" i="14" s="1"/>
  <c r="BW14" i="14" a="1"/>
  <c r="BW14" i="14" s="1"/>
  <c r="BK14" i="14" a="1"/>
  <c r="BK14" i="14" s="1"/>
  <c r="AY14" i="14" a="1"/>
  <c r="AY14" i="14" s="1"/>
  <c r="AM14" i="14" a="1"/>
  <c r="AM14" i="14" s="1"/>
  <c r="AA14" i="14" a="1"/>
  <c r="AA14" i="14" s="1"/>
  <c r="O14" i="14" a="1"/>
  <c r="O14" i="14" s="1"/>
  <c r="C14" i="14" a="1"/>
  <c r="C14" i="14" s="1"/>
  <c r="CR14" i="14" a="1"/>
  <c r="CR14" i="14" s="1"/>
  <c r="CL14" i="14" a="1"/>
  <c r="CL14" i="14" s="1"/>
  <c r="CF14" i="14" a="1"/>
  <c r="CF14" i="14" s="1"/>
  <c r="BZ14" i="14" a="1"/>
  <c r="BZ14" i="14" s="1"/>
  <c r="BT14" i="14" a="1"/>
  <c r="BT14" i="14" s="1"/>
  <c r="BN14" i="14" a="1"/>
  <c r="BN14" i="14" s="1"/>
  <c r="BH14" i="14" a="1"/>
  <c r="BH14" i="14" s="1"/>
  <c r="BB14" i="14" a="1"/>
  <c r="BB14" i="14" s="1"/>
  <c r="AV14" i="14" a="1"/>
  <c r="AV14" i="14" s="1"/>
  <c r="AP14" i="14" a="1"/>
  <c r="AP14" i="14" s="1"/>
  <c r="AJ14" i="14" a="1"/>
  <c r="AJ14" i="14" s="1"/>
  <c r="AD14" i="14" a="1"/>
  <c r="AD14" i="14" s="1"/>
  <c r="X14" i="14" a="1"/>
  <c r="X14" i="14" s="1"/>
  <c r="R14" i="14" a="1"/>
  <c r="R14" i="14" s="1"/>
  <c r="L14" i="14" a="1"/>
  <c r="L14" i="14" s="1"/>
  <c r="F14" i="14" a="1"/>
  <c r="F14" i="14" s="1"/>
  <c r="CQ14" i="14" a="1"/>
  <c r="CQ14" i="14" s="1"/>
  <c r="CK14" i="14" a="1"/>
  <c r="CK14" i="14" s="1"/>
  <c r="CE14" i="14" a="1"/>
  <c r="CE14" i="14" s="1"/>
  <c r="BY14" i="14" a="1"/>
  <c r="BY14" i="14" s="1"/>
  <c r="BS14" i="14" a="1"/>
  <c r="BS14" i="14" s="1"/>
  <c r="BM14" i="14" a="1"/>
  <c r="BM14" i="14" s="1"/>
  <c r="BG14" i="14" a="1"/>
  <c r="BG14" i="14" s="1"/>
  <c r="BA14" i="14" a="1"/>
  <c r="BA14" i="14" s="1"/>
  <c r="AU14" i="14" a="1"/>
  <c r="AU14" i="14" s="1"/>
  <c r="AO14" i="14" a="1"/>
  <c r="AO14" i="14" s="1"/>
  <c r="AI14" i="14" a="1"/>
  <c r="AI14" i="14" s="1"/>
  <c r="AC14" i="14" a="1"/>
  <c r="AC14" i="14" s="1"/>
  <c r="W14" i="14" a="1"/>
  <c r="W14" i="14" s="1"/>
  <c r="Q14" i="14" a="1"/>
  <c r="Q14" i="14" s="1"/>
  <c r="K14" i="14" a="1"/>
  <c r="K14" i="14" s="1"/>
  <c r="E14" i="14" a="1"/>
  <c r="E14" i="14" s="1"/>
  <c r="CT14" i="14" a="1"/>
  <c r="CT14" i="14" s="1"/>
  <c r="CN14" i="14" a="1"/>
  <c r="CN14" i="14" s="1"/>
  <c r="CH14" i="14" a="1"/>
  <c r="CH14" i="14" s="1"/>
  <c r="CB14" i="14" a="1"/>
  <c r="CB14" i="14" s="1"/>
  <c r="BV14" i="14" a="1"/>
  <c r="BV14" i="14" s="1"/>
  <c r="BP14" i="14" a="1"/>
  <c r="BP14" i="14" s="1"/>
  <c r="BJ14" i="14" a="1"/>
  <c r="BJ14" i="14" s="1"/>
  <c r="BD14" i="14" a="1"/>
  <c r="BD14" i="14" s="1"/>
  <c r="AX14" i="14" a="1"/>
  <c r="AX14" i="14" s="1"/>
  <c r="AR14" i="14" a="1"/>
  <c r="AR14" i="14" s="1"/>
  <c r="AL14" i="14" a="1"/>
  <c r="AL14" i="14" s="1"/>
  <c r="AF14" i="14" a="1"/>
  <c r="AF14" i="14" s="1"/>
  <c r="Z14" i="14" a="1"/>
  <c r="Z14" i="14" s="1"/>
  <c r="T14" i="14" a="1"/>
  <c r="T14" i="14" s="1"/>
  <c r="N14" i="14" a="1"/>
  <c r="N14" i="14" s="1"/>
  <c r="H14" i="14" a="1"/>
  <c r="H14" i="14" s="1"/>
  <c r="B14" i="14" a="1"/>
  <c r="AR14" i="15" a="1"/>
  <c r="AR14" i="15" s="1"/>
  <c r="Z14" i="15" a="1"/>
  <c r="Z14" i="15" s="1"/>
  <c r="CT14" i="15" a="1"/>
  <c r="CT14" i="15" s="1"/>
  <c r="CB14" i="15" a="1"/>
  <c r="CB14" i="15" s="1"/>
  <c r="BJ14" i="15" a="1"/>
  <c r="BJ14" i="15" s="1"/>
  <c r="CK14" i="15" a="1"/>
  <c r="CK14" i="15" s="1"/>
  <c r="BY14" i="15" a="1"/>
  <c r="BY14" i="15" s="1"/>
  <c r="BG14" i="15" a="1"/>
  <c r="BG14" i="15" s="1"/>
  <c r="AO14" i="15" a="1"/>
  <c r="AO14" i="15" s="1"/>
  <c r="AI14" i="15" a="1"/>
  <c r="AI14" i="15" s="1"/>
  <c r="Q14" i="15" a="1"/>
  <c r="Q14" i="15" s="1"/>
  <c r="CQ14" i="15" a="1"/>
  <c r="CQ14" i="15" s="1"/>
  <c r="BS14" i="15" a="1"/>
  <c r="BS14" i="15" s="1"/>
  <c r="BA14" i="15" a="1"/>
  <c r="BA14" i="15" s="1"/>
  <c r="W14" i="15" a="1"/>
  <c r="W14" i="15" s="1"/>
  <c r="CH14" i="15" a="1"/>
  <c r="CH14" i="15" s="1"/>
  <c r="BP14" i="15" a="1"/>
  <c r="BP14" i="15" s="1"/>
  <c r="AX14" i="15" a="1"/>
  <c r="AX14" i="15" s="1"/>
  <c r="AF14" i="15" a="1"/>
  <c r="AF14" i="15" s="1"/>
  <c r="N14" i="15" a="1"/>
  <c r="N14" i="15" s="1"/>
  <c r="CP14" i="15" a="1"/>
  <c r="CP14" i="15" s="1"/>
  <c r="BR14" i="15" a="1"/>
  <c r="BR14" i="15" s="1"/>
  <c r="AT14" i="15" a="1"/>
  <c r="AT14" i="15" s="1"/>
  <c r="D14" i="15" a="1"/>
  <c r="D14" i="15" s="1"/>
  <c r="C14" i="15" a="1"/>
  <c r="C14" i="15" s="1"/>
  <c r="CD14" i="15" a="1"/>
  <c r="CD14" i="15" s="1"/>
  <c r="BL14" i="15" a="1"/>
  <c r="BL14" i="15" s="1"/>
  <c r="AN14" i="15" a="1"/>
  <c r="AN14" i="15" s="1"/>
  <c r="J14" i="15" a="1"/>
  <c r="J14" i="15" s="1"/>
  <c r="CU14" i="15" a="1"/>
  <c r="CU14" i="15" s="1"/>
  <c r="CO14" i="15" a="1"/>
  <c r="CO14" i="15" s="1"/>
  <c r="CI14" i="15" a="1"/>
  <c r="CI14" i="15" s="1"/>
  <c r="CC14" i="15" a="1"/>
  <c r="CC14" i="15" s="1"/>
  <c r="BW14" i="15" a="1"/>
  <c r="BW14" i="15" s="1"/>
  <c r="BQ14" i="15" a="1"/>
  <c r="BQ14" i="15" s="1"/>
  <c r="BK14" i="15" a="1"/>
  <c r="BK14" i="15" s="1"/>
  <c r="BE14" i="15" a="1"/>
  <c r="BE14" i="15" s="1"/>
  <c r="AY14" i="15" a="1"/>
  <c r="AY14" i="15" s="1"/>
  <c r="AS14" i="15" a="1"/>
  <c r="AS14" i="15" s="1"/>
  <c r="AM14" i="15" a="1"/>
  <c r="AM14" i="15" s="1"/>
  <c r="AG14" i="15" a="1"/>
  <c r="AG14" i="15" s="1"/>
  <c r="AA14" i="15" a="1"/>
  <c r="AA14" i="15" s="1"/>
  <c r="U14" i="15" a="1"/>
  <c r="U14" i="15" s="1"/>
  <c r="O14" i="15" a="1"/>
  <c r="O14" i="15" s="1"/>
  <c r="I14" i="15" a="1"/>
  <c r="I14" i="15" s="1"/>
  <c r="CJ14" i="15" a="1"/>
  <c r="CJ14" i="15" s="1"/>
  <c r="BF14" i="15" a="1"/>
  <c r="BF14" i="15" s="1"/>
  <c r="AH14" i="15" a="1"/>
  <c r="AH14" i="15" s="1"/>
  <c r="P14" i="15" a="1"/>
  <c r="P14" i="15" s="1"/>
  <c r="CS14" i="15" a="1"/>
  <c r="CS14" i="15" s="1"/>
  <c r="CA14" i="15" a="1"/>
  <c r="CA14" i="15" s="1"/>
  <c r="BI14" i="15" a="1"/>
  <c r="BI14" i="15" s="1"/>
  <c r="G14" i="15" a="1"/>
  <c r="G14" i="15" s="1"/>
  <c r="CV14" i="15" a="1"/>
  <c r="CV14" i="15" s="1"/>
  <c r="BX14" i="15" a="1"/>
  <c r="BX14" i="15" s="1"/>
  <c r="AZ14" i="15" a="1"/>
  <c r="AZ14" i="15" s="1"/>
  <c r="AB14" i="15" a="1"/>
  <c r="AB14" i="15" s="1"/>
  <c r="V14" i="15" a="1"/>
  <c r="V14" i="15" s="1"/>
  <c r="CM14" i="15" a="1"/>
  <c r="CM14" i="15" s="1"/>
  <c r="CG14" i="15" a="1"/>
  <c r="CG14" i="15" s="1"/>
  <c r="BU14" i="15" a="1"/>
  <c r="BU14" i="15" s="1"/>
  <c r="BO14" i="15" a="1"/>
  <c r="BO14" i="15" s="1"/>
  <c r="BC14" i="15" a="1"/>
  <c r="BC14" i="15" s="1"/>
  <c r="AW14" i="15" a="1"/>
  <c r="AW14" i="15" s="1"/>
  <c r="AQ14" i="15" a="1"/>
  <c r="AQ14" i="15" s="1"/>
  <c r="AK14" i="15" a="1"/>
  <c r="AK14" i="15" s="1"/>
  <c r="AE14" i="15" a="1"/>
  <c r="AE14" i="15" s="1"/>
  <c r="Y14" i="15" a="1"/>
  <c r="Y14" i="15" s="1"/>
  <c r="S14" i="15" a="1"/>
  <c r="S14" i="15" s="1"/>
  <c r="M14" i="15" a="1"/>
  <c r="M14" i="15" s="1"/>
  <c r="CE14" i="15" a="1"/>
  <c r="CE14" i="15" s="1"/>
  <c r="BM14" i="15" a="1"/>
  <c r="BM14" i="15" s="1"/>
  <c r="AU14" i="15" a="1"/>
  <c r="AU14" i="15" s="1"/>
  <c r="AC14" i="15" a="1"/>
  <c r="AC14" i="15" s="1"/>
  <c r="CN14" i="15" a="1"/>
  <c r="CN14" i="15" s="1"/>
  <c r="BV14" i="15" a="1"/>
  <c r="BV14" i="15" s="1"/>
  <c r="BD14" i="15" a="1"/>
  <c r="BD14" i="15" s="1"/>
  <c r="AL14" i="15" a="1"/>
  <c r="AL14" i="15" s="1"/>
  <c r="T14" i="15" a="1"/>
  <c r="T14" i="15" s="1"/>
  <c r="CR14" i="15" a="1"/>
  <c r="CR14" i="15" s="1"/>
  <c r="CF14" i="15" a="1"/>
  <c r="CF14" i="15" s="1"/>
  <c r="BT14" i="15" a="1"/>
  <c r="BT14" i="15" s="1"/>
  <c r="BH14" i="15" a="1"/>
  <c r="BH14" i="15" s="1"/>
  <c r="AV14" i="15" a="1"/>
  <c r="AV14" i="15" s="1"/>
  <c r="AJ14" i="15" a="1"/>
  <c r="AJ14" i="15" s="1"/>
  <c r="X14" i="15" a="1"/>
  <c r="X14" i="15" s="1"/>
  <c r="L14" i="15" a="1"/>
  <c r="L14" i="15" s="1"/>
  <c r="E14" i="15" a="1"/>
  <c r="E14" i="15" s="1"/>
  <c r="H14" i="15" a="1"/>
  <c r="H14" i="15" s="1"/>
  <c r="CL14" i="15" a="1"/>
  <c r="CL14" i="15" s="1"/>
  <c r="BZ14" i="15" a="1"/>
  <c r="BZ14" i="15" s="1"/>
  <c r="BN14" i="15" a="1"/>
  <c r="BN14" i="15" s="1"/>
  <c r="BB14" i="15" a="1"/>
  <c r="BB14" i="15" s="1"/>
  <c r="AP14" i="15" a="1"/>
  <c r="AP14" i="15" s="1"/>
  <c r="AD14" i="15" a="1"/>
  <c r="AD14" i="15" s="1"/>
  <c r="R14" i="15" a="1"/>
  <c r="R14" i="15" s="1"/>
  <c r="F14" i="15" a="1"/>
  <c r="F14" i="15" s="1"/>
  <c r="K14" i="15" a="1"/>
  <c r="K14" i="15" s="1"/>
  <c r="L14" i="11"/>
  <c r="L13" i="11"/>
  <c r="L15" i="11"/>
  <c r="N12" i="11"/>
  <c r="I12" i="13"/>
  <c r="I11" i="13"/>
  <c r="E2" i="13"/>
  <c r="E3" i="13" s="1"/>
  <c r="E4" i="13" s="1"/>
  <c r="E5" i="13" s="1"/>
  <c r="E6" i="13" s="1"/>
  <c r="E7" i="13" s="1"/>
  <c r="E8" i="13" s="1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E45" i="13" s="1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E58" i="13" s="1"/>
  <c r="E59" i="13" s="1"/>
  <c r="E60" i="13" s="1"/>
  <c r="E61" i="13" s="1"/>
  <c r="E62" i="13" s="1"/>
  <c r="E63" i="13" s="1"/>
  <c r="E64" i="13" s="1"/>
  <c r="E65" i="13" s="1"/>
  <c r="E66" i="13" s="1"/>
  <c r="E67" i="13" s="1"/>
  <c r="E68" i="13" s="1"/>
  <c r="E69" i="13" s="1"/>
  <c r="E70" i="13" s="1"/>
  <c r="E71" i="13" s="1"/>
  <c r="E72" i="13" s="1"/>
  <c r="E73" i="13" s="1"/>
  <c r="E74" i="13" s="1"/>
  <c r="E75" i="13" s="1"/>
  <c r="E76" i="13" s="1"/>
  <c r="E77" i="13" s="1"/>
  <c r="E78" i="13" s="1"/>
  <c r="E79" i="13" s="1"/>
  <c r="E80" i="13" s="1"/>
  <c r="E81" i="13" s="1"/>
  <c r="E82" i="13" s="1"/>
  <c r="E83" i="13" s="1"/>
  <c r="E84" i="13" s="1"/>
  <c r="E85" i="13" s="1"/>
  <c r="E86" i="13" s="1"/>
  <c r="E87" i="13" s="1"/>
  <c r="E88" i="13" s="1"/>
  <c r="E89" i="13" s="1"/>
  <c r="E90" i="13" s="1"/>
  <c r="E91" i="13" s="1"/>
  <c r="E92" i="13" s="1"/>
  <c r="E93" i="13" s="1"/>
  <c r="E94" i="13" s="1"/>
  <c r="E95" i="13" s="1"/>
  <c r="E96" i="13" s="1"/>
  <c r="E97" i="13" s="1"/>
  <c r="E98" i="13" s="1"/>
  <c r="E99" i="13" s="1"/>
  <c r="E100" i="13" s="1"/>
  <c r="E101" i="13" s="1"/>
  <c r="E102" i="13" s="1"/>
  <c r="E103" i="13" s="1"/>
  <c r="E104" i="13" s="1"/>
  <c r="E105" i="13" s="1"/>
  <c r="E106" i="13" s="1"/>
  <c r="E107" i="13" s="1"/>
  <c r="E108" i="13" s="1"/>
  <c r="E109" i="13" s="1"/>
  <c r="E110" i="13" s="1"/>
  <c r="E111" i="13" s="1"/>
  <c r="E112" i="13" s="1"/>
  <c r="E113" i="13" s="1"/>
  <c r="E114" i="13" s="1"/>
  <c r="E115" i="13" s="1"/>
  <c r="E116" i="13" s="1"/>
  <c r="E117" i="13" s="1"/>
  <c r="E118" i="13" s="1"/>
  <c r="E119" i="13" s="1"/>
  <c r="E120" i="13" s="1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L2" i="7"/>
  <c r="L3" i="7"/>
  <c r="L4" i="7"/>
  <c r="D3" i="8" s="1"/>
  <c r="L5" i="7"/>
  <c r="L6" i="7"/>
  <c r="L7" i="7"/>
  <c r="L8" i="7"/>
  <c r="L9" i="7"/>
  <c r="L10" i="7"/>
  <c r="D9" i="8" s="1"/>
  <c r="L11" i="7"/>
  <c r="L12" i="7"/>
  <c r="L13" i="7"/>
  <c r="L14" i="7"/>
  <c r="L15" i="7"/>
  <c r="L16" i="7"/>
  <c r="D15" i="8" s="1"/>
  <c r="L17" i="7"/>
  <c r="L18" i="7"/>
  <c r="L19" i="7"/>
  <c r="L20" i="7"/>
  <c r="L21" i="7"/>
  <c r="L22" i="7"/>
  <c r="D21" i="8" s="1"/>
  <c r="L23" i="7"/>
  <c r="L24" i="7"/>
  <c r="L25" i="7"/>
  <c r="L26" i="7"/>
  <c r="L27" i="7"/>
  <c r="L28" i="7"/>
  <c r="D27" i="8" s="1"/>
  <c r="L29" i="7"/>
  <c r="L30" i="7"/>
  <c r="L31" i="7"/>
  <c r="L32" i="7"/>
  <c r="L33" i="7"/>
  <c r="L34" i="7"/>
  <c r="D33" i="8" s="1"/>
  <c r="L35" i="7"/>
  <c r="L36" i="7"/>
  <c r="L37" i="7"/>
  <c r="L38" i="7"/>
  <c r="L39" i="7"/>
  <c r="L40" i="7"/>
  <c r="D39" i="8" s="1"/>
  <c r="L41" i="7"/>
  <c r="L42" i="7"/>
  <c r="L43" i="7"/>
  <c r="L44" i="7"/>
  <c r="L45" i="7"/>
  <c r="L46" i="7"/>
  <c r="D45" i="8" s="1"/>
  <c r="L47" i="7"/>
  <c r="L48" i="7"/>
  <c r="L49" i="7"/>
  <c r="L50" i="7"/>
  <c r="L51" i="7"/>
  <c r="L52" i="7"/>
  <c r="D51" i="8" s="1"/>
  <c r="L53" i="7"/>
  <c r="L54" i="7"/>
  <c r="L55" i="7"/>
  <c r="L56" i="7"/>
  <c r="L57" i="7"/>
  <c r="L58" i="7"/>
  <c r="D57" i="8" s="1"/>
  <c r="L59" i="7"/>
  <c r="L60" i="7"/>
  <c r="L61" i="7"/>
  <c r="L62" i="7"/>
  <c r="L63" i="7"/>
  <c r="L64" i="7"/>
  <c r="D63" i="8" s="1"/>
  <c r="L65" i="7"/>
  <c r="L66" i="7"/>
  <c r="L67" i="7"/>
  <c r="L68" i="7"/>
  <c r="L69" i="7"/>
  <c r="L70" i="7"/>
  <c r="D69" i="8" s="1"/>
  <c r="L71" i="7"/>
  <c r="L72" i="7"/>
  <c r="L73" i="7"/>
  <c r="L74" i="7"/>
  <c r="L75" i="7"/>
  <c r="L76" i="7"/>
  <c r="D75" i="8" s="1"/>
  <c r="L77" i="7"/>
  <c r="L78" i="7"/>
  <c r="L79" i="7"/>
  <c r="L80" i="7"/>
  <c r="L81" i="7"/>
  <c r="L82" i="7"/>
  <c r="D81" i="8" s="1"/>
  <c r="L83" i="7"/>
  <c r="L84" i="7"/>
  <c r="L85" i="7"/>
  <c r="L86" i="7"/>
  <c r="L87" i="7"/>
  <c r="L88" i="7"/>
  <c r="D87" i="8" s="1"/>
  <c r="L89" i="7"/>
  <c r="L90" i="7"/>
  <c r="L91" i="7"/>
  <c r="L92" i="7"/>
  <c r="L93" i="7"/>
  <c r="L94" i="7"/>
  <c r="D93" i="8" s="1"/>
  <c r="L95" i="7"/>
  <c r="L96" i="7"/>
  <c r="L97" i="7"/>
  <c r="L98" i="7"/>
  <c r="L99" i="7"/>
  <c r="L100" i="7"/>
  <c r="D99" i="8" s="1"/>
  <c r="L101" i="7"/>
  <c r="L102" i="7"/>
  <c r="L103" i="7"/>
  <c r="L104" i="7"/>
  <c r="L105" i="7"/>
  <c r="L106" i="7"/>
  <c r="D105" i="8" s="1"/>
  <c r="L107" i="7"/>
  <c r="L108" i="7"/>
  <c r="L109" i="7"/>
  <c r="L110" i="7"/>
  <c r="L111" i="7"/>
  <c r="L112" i="7"/>
  <c r="D111" i="8" s="1"/>
  <c r="L113" i="7"/>
  <c r="L114" i="7"/>
  <c r="L115" i="7"/>
  <c r="L116" i="7"/>
  <c r="L117" i="7"/>
  <c r="L118" i="7"/>
  <c r="D117" i="8" s="1"/>
  <c r="L119" i="7"/>
  <c r="L120" i="7"/>
  <c r="K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D115" i="8" l="1"/>
  <c r="D109" i="8"/>
  <c r="D103" i="8"/>
  <c r="D97" i="8"/>
  <c r="D91" i="8"/>
  <c r="D85" i="8"/>
  <c r="D79" i="8"/>
  <c r="D73" i="8"/>
  <c r="D67" i="8"/>
  <c r="D61" i="8"/>
  <c r="D55" i="8"/>
  <c r="D49" i="8"/>
  <c r="D43" i="8"/>
  <c r="D37" i="8"/>
  <c r="D31" i="8"/>
  <c r="D25" i="8"/>
  <c r="D19" i="8"/>
  <c r="D13" i="8"/>
  <c r="D7" i="8"/>
  <c r="D116" i="8"/>
  <c r="D110" i="8"/>
  <c r="D104" i="8"/>
  <c r="D98" i="8"/>
  <c r="D92" i="8"/>
  <c r="D86" i="8"/>
  <c r="D80" i="8"/>
  <c r="D74" i="8"/>
  <c r="D68" i="8"/>
  <c r="D62" i="8"/>
  <c r="D56" i="8"/>
  <c r="D50" i="8"/>
  <c r="D44" i="8"/>
  <c r="D38" i="8"/>
  <c r="D32" i="8"/>
  <c r="D26" i="8"/>
  <c r="D20" i="8"/>
  <c r="D14" i="8"/>
  <c r="D8" i="8"/>
  <c r="D2" i="8"/>
  <c r="D114" i="8"/>
  <c r="D108" i="8"/>
  <c r="D102" i="8"/>
  <c r="D96" i="8"/>
  <c r="D90" i="8"/>
  <c r="D84" i="8"/>
  <c r="D78" i="8"/>
  <c r="D72" i="8"/>
  <c r="D66" i="8"/>
  <c r="D60" i="8"/>
  <c r="D54" i="8"/>
  <c r="D48" i="8"/>
  <c r="D42" i="8"/>
  <c r="D36" i="8"/>
  <c r="D30" i="8"/>
  <c r="D24" i="8"/>
  <c r="D18" i="8"/>
  <c r="D12" i="8"/>
  <c r="D6" i="8"/>
  <c r="D120" i="8"/>
  <c r="D118" i="8"/>
  <c r="D112" i="8"/>
  <c r="D106" i="8"/>
  <c r="D100" i="8"/>
  <c r="D94" i="8"/>
  <c r="D88" i="8"/>
  <c r="D82" i="8"/>
  <c r="D76" i="8"/>
  <c r="D70" i="8"/>
  <c r="D64" i="8"/>
  <c r="D58" i="8"/>
  <c r="D52" i="8"/>
  <c r="D46" i="8"/>
  <c r="D40" i="8"/>
  <c r="D34" i="8"/>
  <c r="D28" i="8"/>
  <c r="D22" i="8"/>
  <c r="D16" i="8"/>
  <c r="D10" i="8"/>
  <c r="D4" i="8"/>
  <c r="D119" i="8"/>
  <c r="D113" i="8"/>
  <c r="D107" i="8"/>
  <c r="D101" i="8"/>
  <c r="D95" i="8"/>
  <c r="D89" i="8"/>
  <c r="D83" i="8"/>
  <c r="D77" i="8"/>
  <c r="D71" i="8"/>
  <c r="D65" i="8"/>
  <c r="D59" i="8"/>
  <c r="D53" i="8"/>
  <c r="D47" i="8"/>
  <c r="D41" i="8"/>
  <c r="D35" i="8"/>
  <c r="D29" i="8"/>
  <c r="D23" i="8"/>
  <c r="D17" i="8"/>
  <c r="D11" i="8"/>
  <c r="D5" i="8"/>
  <c r="I3" i="4"/>
  <c r="G3" i="2" s="1"/>
  <c r="I4" i="4"/>
  <c r="G4" i="2" s="1"/>
  <c r="I5" i="4"/>
  <c r="G5" i="2" s="1"/>
  <c r="I6" i="4"/>
  <c r="G6" i="2" s="1"/>
  <c r="I7" i="4"/>
  <c r="G7" i="2" s="1"/>
  <c r="I8" i="4"/>
  <c r="G8" i="2" s="1"/>
  <c r="I9" i="4"/>
  <c r="G9" i="2" s="1"/>
  <c r="I10" i="4"/>
  <c r="G10" i="2" s="1"/>
  <c r="J9" i="7" s="1"/>
  <c r="I11" i="4"/>
  <c r="G11" i="2" s="1"/>
  <c r="I12" i="4"/>
  <c r="G12" i="2" s="1"/>
  <c r="I13" i="4"/>
  <c r="G13" i="2" s="1"/>
  <c r="I14" i="4"/>
  <c r="G14" i="2" s="1"/>
  <c r="I15" i="4"/>
  <c r="G15" i="2" s="1"/>
  <c r="I16" i="4"/>
  <c r="G16" i="2" s="1"/>
  <c r="I17" i="4"/>
  <c r="G17" i="2" s="1"/>
  <c r="I18" i="4"/>
  <c r="G18" i="2" s="1"/>
  <c r="I19" i="4"/>
  <c r="G19" i="2" s="1"/>
  <c r="I20" i="4"/>
  <c r="G20" i="2" s="1"/>
  <c r="I21" i="4"/>
  <c r="G21" i="2" s="1"/>
  <c r="I22" i="4"/>
  <c r="G22" i="2" s="1"/>
  <c r="I23" i="4"/>
  <c r="G23" i="2" s="1"/>
  <c r="I24" i="4"/>
  <c r="G24" i="2" s="1"/>
  <c r="I25" i="4"/>
  <c r="G25" i="2" s="1"/>
  <c r="I26" i="4"/>
  <c r="G26" i="2" s="1"/>
  <c r="I27" i="4"/>
  <c r="G27" i="2" s="1"/>
  <c r="I28" i="4"/>
  <c r="G28" i="2" s="1"/>
  <c r="I29" i="4"/>
  <c r="G29" i="2" s="1"/>
  <c r="I30" i="4"/>
  <c r="G30" i="2" s="1"/>
  <c r="I31" i="4"/>
  <c r="G31" i="2" s="1"/>
  <c r="I32" i="4"/>
  <c r="G32" i="2" s="1"/>
  <c r="G33" i="2"/>
  <c r="I34" i="4"/>
  <c r="G34" i="2" s="1"/>
  <c r="I35" i="4"/>
  <c r="G35" i="2" s="1"/>
  <c r="I36" i="4"/>
  <c r="G36" i="2" s="1"/>
  <c r="I37" i="4"/>
  <c r="G37" i="2" s="1"/>
  <c r="I38" i="4"/>
  <c r="G38" i="2" s="1"/>
  <c r="I39" i="4"/>
  <c r="G39" i="2" s="1"/>
  <c r="I40" i="4"/>
  <c r="G40" i="2" s="1"/>
  <c r="I41" i="4"/>
  <c r="G41" i="2" s="1"/>
  <c r="I42" i="4"/>
  <c r="G42" i="2" s="1"/>
  <c r="I43" i="4"/>
  <c r="G43" i="2" s="1"/>
  <c r="I44" i="4"/>
  <c r="G44" i="2" s="1"/>
  <c r="I45" i="4"/>
  <c r="G45" i="2" s="1"/>
  <c r="I46" i="4"/>
  <c r="G46" i="2" s="1"/>
  <c r="I47" i="4"/>
  <c r="G47" i="2" s="1"/>
  <c r="I48" i="4"/>
  <c r="G48" i="2" s="1"/>
  <c r="I49" i="4"/>
  <c r="G49" i="2" s="1"/>
  <c r="I50" i="4"/>
  <c r="G50" i="2" s="1"/>
  <c r="I51" i="4"/>
  <c r="G51" i="2" s="1"/>
  <c r="I52" i="4"/>
  <c r="G52" i="2" s="1"/>
  <c r="I53" i="4"/>
  <c r="G53" i="2" s="1"/>
  <c r="I54" i="4"/>
  <c r="G54" i="2" s="1"/>
  <c r="I55" i="4"/>
  <c r="G55" i="2" s="1"/>
  <c r="I56" i="4"/>
  <c r="G56" i="2" s="1"/>
  <c r="I57" i="4"/>
  <c r="G57" i="2" s="1"/>
  <c r="I58" i="4"/>
  <c r="G58" i="2" s="1"/>
  <c r="I59" i="4"/>
  <c r="G59" i="2" s="1"/>
  <c r="I60" i="4"/>
  <c r="G60" i="2" s="1"/>
  <c r="I61" i="4"/>
  <c r="G61" i="2" s="1"/>
  <c r="I62" i="4"/>
  <c r="G62" i="2" s="1"/>
  <c r="I63" i="4"/>
  <c r="G63" i="2" s="1"/>
  <c r="I64" i="4"/>
  <c r="G64" i="2" s="1"/>
  <c r="I65" i="4"/>
  <c r="G65" i="2" s="1"/>
  <c r="I66" i="4"/>
  <c r="G66" i="2" s="1"/>
  <c r="I67" i="4"/>
  <c r="G67" i="2" s="1"/>
  <c r="I68" i="4"/>
  <c r="G68" i="2" s="1"/>
  <c r="I69" i="4"/>
  <c r="G69" i="2" s="1"/>
  <c r="I70" i="4"/>
  <c r="G70" i="2" s="1"/>
  <c r="I71" i="4"/>
  <c r="G71" i="2" s="1"/>
  <c r="I72" i="4"/>
  <c r="G72" i="2" s="1"/>
  <c r="I73" i="4"/>
  <c r="G73" i="2" s="1"/>
  <c r="I74" i="4"/>
  <c r="G74" i="2" s="1"/>
  <c r="I75" i="4"/>
  <c r="G75" i="2" s="1"/>
  <c r="I76" i="4"/>
  <c r="G76" i="2" s="1"/>
  <c r="I77" i="4"/>
  <c r="G77" i="2" s="1"/>
  <c r="I78" i="4"/>
  <c r="G78" i="2" s="1"/>
  <c r="I79" i="4"/>
  <c r="G79" i="2" s="1"/>
  <c r="I80" i="4"/>
  <c r="G80" i="2" s="1"/>
  <c r="I81" i="4"/>
  <c r="G81" i="2" s="1"/>
  <c r="I82" i="4"/>
  <c r="G82" i="2" s="1"/>
  <c r="I83" i="4"/>
  <c r="G83" i="2" s="1"/>
  <c r="I84" i="4"/>
  <c r="G84" i="2" s="1"/>
  <c r="I85" i="4"/>
  <c r="G85" i="2" s="1"/>
  <c r="I86" i="4"/>
  <c r="G86" i="2" s="1"/>
  <c r="I87" i="4"/>
  <c r="G87" i="2" s="1"/>
  <c r="I88" i="4"/>
  <c r="G88" i="2" s="1"/>
  <c r="I89" i="4"/>
  <c r="G89" i="2" s="1"/>
  <c r="I90" i="4"/>
  <c r="G90" i="2" s="1"/>
  <c r="I91" i="4"/>
  <c r="G91" i="2" s="1"/>
  <c r="I92" i="4"/>
  <c r="G92" i="2" s="1"/>
  <c r="I93" i="4"/>
  <c r="G93" i="2" s="1"/>
  <c r="I94" i="4"/>
  <c r="G94" i="2" s="1"/>
  <c r="I95" i="4"/>
  <c r="G95" i="2" s="1"/>
  <c r="I96" i="4"/>
  <c r="G96" i="2" s="1"/>
  <c r="I97" i="4"/>
  <c r="G97" i="2" s="1"/>
  <c r="I98" i="4"/>
  <c r="G98" i="2" s="1"/>
  <c r="I99" i="4"/>
  <c r="G99" i="2" s="1"/>
  <c r="I100" i="4"/>
  <c r="G100" i="2" s="1"/>
  <c r="I101" i="4"/>
  <c r="G101" i="2" s="1"/>
  <c r="I102" i="4"/>
  <c r="G102" i="2" s="1"/>
  <c r="I103" i="4"/>
  <c r="G103" i="2" s="1"/>
  <c r="I104" i="4"/>
  <c r="G104" i="2" s="1"/>
  <c r="I105" i="4"/>
  <c r="G105" i="2" s="1"/>
  <c r="I106" i="4"/>
  <c r="G106" i="2" s="1"/>
  <c r="J105" i="7" s="1"/>
  <c r="I107" i="4"/>
  <c r="G107" i="2" s="1"/>
  <c r="I108" i="4"/>
  <c r="G108" i="2" s="1"/>
  <c r="I109" i="4"/>
  <c r="G109" i="2" s="1"/>
  <c r="I110" i="4"/>
  <c r="G110" i="2" s="1"/>
  <c r="I111" i="4"/>
  <c r="G111" i="2" s="1"/>
  <c r="I112" i="4"/>
  <c r="G112" i="2" s="1"/>
  <c r="I113" i="4"/>
  <c r="G113" i="2" s="1"/>
  <c r="I114" i="4"/>
  <c r="G114" i="2" s="1"/>
  <c r="I115" i="4"/>
  <c r="G115" i="2" s="1"/>
  <c r="I116" i="4"/>
  <c r="G116" i="2" s="1"/>
  <c r="I117" i="4"/>
  <c r="G117" i="2" s="1"/>
  <c r="I118" i="4"/>
  <c r="G118" i="2" s="1"/>
  <c r="J117" i="7" s="1"/>
  <c r="I119" i="4"/>
  <c r="G119" i="2" s="1"/>
  <c r="I120" i="4"/>
  <c r="G120" i="2" s="1"/>
  <c r="I121" i="4"/>
  <c r="G121" i="2" s="1"/>
  <c r="I2" i="4"/>
  <c r="G2" i="2" s="1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G17" i="7" l="1"/>
  <c r="B17" i="8" s="1"/>
  <c r="G15" i="7"/>
  <c r="B15" i="8" s="1"/>
  <c r="G21" i="7"/>
  <c r="B21" i="8" s="1"/>
  <c r="G27" i="7"/>
  <c r="B27" i="8" s="1"/>
  <c r="G33" i="7"/>
  <c r="B33" i="8" s="1"/>
  <c r="G39" i="7"/>
  <c r="B39" i="8" s="1"/>
  <c r="G45" i="7"/>
  <c r="B45" i="8" s="1"/>
  <c r="G51" i="7"/>
  <c r="B51" i="8" s="1"/>
  <c r="G57" i="7"/>
  <c r="B57" i="8" s="1"/>
  <c r="G63" i="7"/>
  <c r="B63" i="8" s="1"/>
  <c r="G69" i="7"/>
  <c r="B69" i="8" s="1"/>
  <c r="G75" i="7"/>
  <c r="B75" i="8" s="1"/>
  <c r="G81" i="7"/>
  <c r="B81" i="8" s="1"/>
  <c r="G87" i="7"/>
  <c r="B87" i="8" s="1"/>
  <c r="G93" i="7"/>
  <c r="B93" i="8" s="1"/>
  <c r="G99" i="7"/>
  <c r="B99" i="8" s="1"/>
  <c r="G105" i="7"/>
  <c r="B105" i="8" s="1"/>
  <c r="G111" i="7"/>
  <c r="B111" i="8" s="1"/>
  <c r="G117" i="7"/>
  <c r="B117" i="8" s="1"/>
  <c r="G16" i="7"/>
  <c r="B16" i="8" s="1"/>
  <c r="G22" i="7"/>
  <c r="B22" i="8" s="1"/>
  <c r="G28" i="7"/>
  <c r="B28" i="8" s="1"/>
  <c r="G34" i="7"/>
  <c r="B34" i="8" s="1"/>
  <c r="G40" i="7"/>
  <c r="B40" i="8" s="1"/>
  <c r="G46" i="7"/>
  <c r="B46" i="8" s="1"/>
  <c r="G52" i="7"/>
  <c r="B52" i="8" s="1"/>
  <c r="G58" i="7"/>
  <c r="B58" i="8" s="1"/>
  <c r="G64" i="7"/>
  <c r="B64" i="8" s="1"/>
  <c r="G70" i="7"/>
  <c r="B70" i="8" s="1"/>
  <c r="G76" i="7"/>
  <c r="B76" i="8" s="1"/>
  <c r="G82" i="7"/>
  <c r="B82" i="8" s="1"/>
  <c r="G88" i="7"/>
  <c r="B88" i="8" s="1"/>
  <c r="G94" i="7"/>
  <c r="B94" i="8" s="1"/>
  <c r="G100" i="7"/>
  <c r="B100" i="8" s="1"/>
  <c r="G106" i="7"/>
  <c r="B106" i="8" s="1"/>
  <c r="G112" i="7"/>
  <c r="B112" i="8" s="1"/>
  <c r="G118" i="7"/>
  <c r="B118" i="8" s="1"/>
  <c r="J118" i="7"/>
  <c r="J112" i="7"/>
  <c r="J106" i="7"/>
  <c r="J100" i="7"/>
  <c r="J94" i="7"/>
  <c r="J88" i="7"/>
  <c r="J82" i="7"/>
  <c r="J76" i="7"/>
  <c r="J70" i="7"/>
  <c r="J64" i="7"/>
  <c r="J58" i="7"/>
  <c r="J52" i="7"/>
  <c r="J46" i="7"/>
  <c r="J40" i="7"/>
  <c r="J34" i="7"/>
  <c r="J28" i="7"/>
  <c r="J22" i="7"/>
  <c r="J16" i="7"/>
  <c r="J10" i="7"/>
  <c r="J4" i="7"/>
  <c r="G23" i="7"/>
  <c r="B23" i="8" s="1"/>
  <c r="G29" i="7"/>
  <c r="B29" i="8" s="1"/>
  <c r="G35" i="7"/>
  <c r="B35" i="8" s="1"/>
  <c r="G41" i="7"/>
  <c r="B41" i="8" s="1"/>
  <c r="G47" i="7"/>
  <c r="B47" i="8" s="1"/>
  <c r="G53" i="7"/>
  <c r="B53" i="8" s="1"/>
  <c r="G59" i="7"/>
  <c r="B59" i="8" s="1"/>
  <c r="G65" i="7"/>
  <c r="B65" i="8" s="1"/>
  <c r="G71" i="7"/>
  <c r="B71" i="8" s="1"/>
  <c r="G77" i="7"/>
  <c r="B77" i="8" s="1"/>
  <c r="G83" i="7"/>
  <c r="B83" i="8" s="1"/>
  <c r="G89" i="7"/>
  <c r="B89" i="8" s="1"/>
  <c r="G95" i="7"/>
  <c r="B95" i="8" s="1"/>
  <c r="G101" i="7"/>
  <c r="B101" i="8" s="1"/>
  <c r="G107" i="7"/>
  <c r="B107" i="8" s="1"/>
  <c r="G113" i="7"/>
  <c r="B113" i="8" s="1"/>
  <c r="G119" i="7"/>
  <c r="B119" i="8" s="1"/>
  <c r="J111" i="7"/>
  <c r="J99" i="7"/>
  <c r="J93" i="7"/>
  <c r="J81" i="7"/>
  <c r="J75" i="7"/>
  <c r="J63" i="7"/>
  <c r="J57" i="7"/>
  <c r="J45" i="7"/>
  <c r="J39" i="7"/>
  <c r="J27" i="7"/>
  <c r="J21" i="7"/>
  <c r="J3" i="7"/>
  <c r="J87" i="7"/>
  <c r="J69" i="7"/>
  <c r="J51" i="7"/>
  <c r="J33" i="7"/>
  <c r="J15" i="7"/>
  <c r="G18" i="7"/>
  <c r="B18" i="8" s="1"/>
  <c r="G42" i="7"/>
  <c r="B42" i="8" s="1"/>
  <c r="G54" i="7"/>
  <c r="B54" i="8" s="1"/>
  <c r="G72" i="7"/>
  <c r="B72" i="8" s="1"/>
  <c r="G96" i="7"/>
  <c r="B96" i="8" s="1"/>
  <c r="G114" i="7"/>
  <c r="B114" i="8" s="1"/>
  <c r="J110" i="7"/>
  <c r="J92" i="7"/>
  <c r="J74" i="7"/>
  <c r="J56" i="7"/>
  <c r="J38" i="7"/>
  <c r="J20" i="7"/>
  <c r="J2" i="7"/>
  <c r="C2" i="8" s="1"/>
  <c r="G30" i="7"/>
  <c r="B30" i="8" s="1"/>
  <c r="G48" i="7"/>
  <c r="B48" i="8" s="1"/>
  <c r="G66" i="7"/>
  <c r="B66" i="8" s="1"/>
  <c r="G84" i="7"/>
  <c r="B84" i="8" s="1"/>
  <c r="G102" i="7"/>
  <c r="B102" i="8" s="1"/>
  <c r="G120" i="7"/>
  <c r="B120" i="8" s="1"/>
  <c r="J104" i="7"/>
  <c r="J86" i="7"/>
  <c r="J68" i="7"/>
  <c r="J50" i="7"/>
  <c r="J26" i="7"/>
  <c r="J8" i="7"/>
  <c r="G3" i="7"/>
  <c r="B3" i="8" s="1"/>
  <c r="G9" i="7"/>
  <c r="B9" i="8" s="1"/>
  <c r="G2" i="7"/>
  <c r="B2" i="8" s="1"/>
  <c r="E2" i="8" s="1"/>
  <c r="F2" i="8" s="1"/>
  <c r="B2" i="13" s="1"/>
  <c r="G4" i="7"/>
  <c r="B4" i="8" s="1"/>
  <c r="G10" i="7"/>
  <c r="B10" i="8" s="1"/>
  <c r="G5" i="7"/>
  <c r="B5" i="8" s="1"/>
  <c r="G11" i="7"/>
  <c r="B11" i="8" s="1"/>
  <c r="G6" i="7"/>
  <c r="B6" i="8" s="1"/>
  <c r="G12" i="7"/>
  <c r="B12" i="8" s="1"/>
  <c r="G7" i="7"/>
  <c r="B7" i="8" s="1"/>
  <c r="G13" i="7"/>
  <c r="B13" i="8" s="1"/>
  <c r="G8" i="7"/>
  <c r="B8" i="8" s="1"/>
  <c r="G19" i="7"/>
  <c r="B19" i="8" s="1"/>
  <c r="G25" i="7"/>
  <c r="B25" i="8" s="1"/>
  <c r="G31" i="7"/>
  <c r="B31" i="8" s="1"/>
  <c r="G37" i="7"/>
  <c r="B37" i="8" s="1"/>
  <c r="G43" i="7"/>
  <c r="B43" i="8" s="1"/>
  <c r="G49" i="7"/>
  <c r="B49" i="8" s="1"/>
  <c r="G55" i="7"/>
  <c r="B55" i="8" s="1"/>
  <c r="G61" i="7"/>
  <c r="B61" i="8" s="1"/>
  <c r="G67" i="7"/>
  <c r="B67" i="8" s="1"/>
  <c r="G73" i="7"/>
  <c r="B73" i="8" s="1"/>
  <c r="G79" i="7"/>
  <c r="B79" i="8" s="1"/>
  <c r="G85" i="7"/>
  <c r="B85" i="8" s="1"/>
  <c r="G91" i="7"/>
  <c r="B91" i="8" s="1"/>
  <c r="G97" i="7"/>
  <c r="B97" i="8" s="1"/>
  <c r="G103" i="7"/>
  <c r="B103" i="8" s="1"/>
  <c r="G109" i="7"/>
  <c r="B109" i="8" s="1"/>
  <c r="G115" i="7"/>
  <c r="B115" i="8" s="1"/>
  <c r="J115" i="7"/>
  <c r="J109" i="7"/>
  <c r="J103" i="7"/>
  <c r="J97" i="7"/>
  <c r="J91" i="7"/>
  <c r="J85" i="7"/>
  <c r="J79" i="7"/>
  <c r="J73" i="7"/>
  <c r="J67" i="7"/>
  <c r="J61" i="7"/>
  <c r="J55" i="7"/>
  <c r="J49" i="7"/>
  <c r="J43" i="7"/>
  <c r="J37" i="7"/>
  <c r="J31" i="7"/>
  <c r="J25" i="7"/>
  <c r="J19" i="7"/>
  <c r="J13" i="7"/>
  <c r="J7" i="7"/>
  <c r="G24" i="7"/>
  <c r="B24" i="8" s="1"/>
  <c r="G36" i="7"/>
  <c r="B36" i="8" s="1"/>
  <c r="G60" i="7"/>
  <c r="B60" i="8" s="1"/>
  <c r="G78" i="7"/>
  <c r="B78" i="8" s="1"/>
  <c r="G90" i="7"/>
  <c r="B90" i="8" s="1"/>
  <c r="G108" i="7"/>
  <c r="B108" i="8" s="1"/>
  <c r="J116" i="7"/>
  <c r="J98" i="7"/>
  <c r="J80" i="7"/>
  <c r="J62" i="7"/>
  <c r="J44" i="7"/>
  <c r="J32" i="7"/>
  <c r="J14" i="7"/>
  <c r="G14" i="7"/>
  <c r="B14" i="8" s="1"/>
  <c r="G20" i="7"/>
  <c r="B20" i="8" s="1"/>
  <c r="G26" i="7"/>
  <c r="B26" i="8" s="1"/>
  <c r="G32" i="7"/>
  <c r="B32" i="8" s="1"/>
  <c r="G38" i="7"/>
  <c r="B38" i="8" s="1"/>
  <c r="G44" i="7"/>
  <c r="B44" i="8" s="1"/>
  <c r="G50" i="7"/>
  <c r="B50" i="8" s="1"/>
  <c r="G56" i="7"/>
  <c r="B56" i="8" s="1"/>
  <c r="G62" i="7"/>
  <c r="B62" i="8" s="1"/>
  <c r="G68" i="7"/>
  <c r="B68" i="8" s="1"/>
  <c r="G74" i="7"/>
  <c r="B74" i="8" s="1"/>
  <c r="G80" i="7"/>
  <c r="B80" i="8" s="1"/>
  <c r="G86" i="7"/>
  <c r="B86" i="8" s="1"/>
  <c r="G92" i="7"/>
  <c r="B92" i="8" s="1"/>
  <c r="G98" i="7"/>
  <c r="B98" i="8" s="1"/>
  <c r="G104" i="7"/>
  <c r="B104" i="8" s="1"/>
  <c r="G110" i="7"/>
  <c r="B110" i="8" s="1"/>
  <c r="G116" i="7"/>
  <c r="B116" i="8" s="1"/>
  <c r="J120" i="7"/>
  <c r="C120" i="8" s="1"/>
  <c r="J114" i="7"/>
  <c r="J108" i="7"/>
  <c r="J102" i="7"/>
  <c r="J96" i="7"/>
  <c r="J90" i="7"/>
  <c r="J84" i="7"/>
  <c r="J78" i="7"/>
  <c r="J72" i="7"/>
  <c r="J66" i="7"/>
  <c r="J60" i="7"/>
  <c r="J54" i="7"/>
  <c r="J48" i="7"/>
  <c r="J42" i="7"/>
  <c r="J36" i="7"/>
  <c r="J30" i="7"/>
  <c r="J24" i="7"/>
  <c r="J18" i="7"/>
  <c r="J12" i="7"/>
  <c r="J6" i="7"/>
  <c r="J119" i="7"/>
  <c r="C119" i="8" s="1"/>
  <c r="J113" i="7"/>
  <c r="J107" i="7"/>
  <c r="J101" i="7"/>
  <c r="J95" i="7"/>
  <c r="J89" i="7"/>
  <c r="J83" i="7"/>
  <c r="J77" i="7"/>
  <c r="J71" i="7"/>
  <c r="J65" i="7"/>
  <c r="J59" i="7"/>
  <c r="J53" i="7"/>
  <c r="J47" i="7"/>
  <c r="J41" i="7"/>
  <c r="J35" i="7"/>
  <c r="J29" i="7"/>
  <c r="J23" i="7"/>
  <c r="J17" i="7"/>
  <c r="J11" i="7"/>
  <c r="J5" i="7"/>
  <c r="D2" i="13" l="1"/>
  <c r="E72" i="8"/>
  <c r="F72" i="8" s="1"/>
  <c r="B72" i="13" s="1"/>
  <c r="D72" i="13" s="1"/>
  <c r="E106" i="8"/>
  <c r="F106" i="8" s="1"/>
  <c r="B106" i="13" s="1"/>
  <c r="D106" i="13" s="1"/>
  <c r="E36" i="8"/>
  <c r="F36" i="8" s="1"/>
  <c r="B36" i="13" s="1"/>
  <c r="D36" i="13" s="1"/>
  <c r="E28" i="8"/>
  <c r="F28" i="8" s="1"/>
  <c r="B28" i="13" s="1"/>
  <c r="D28" i="13" s="1"/>
  <c r="E80" i="8"/>
  <c r="F80" i="8" s="1"/>
  <c r="B80" i="13" s="1"/>
  <c r="D80" i="13" s="1"/>
  <c r="E44" i="8"/>
  <c r="F44" i="8" s="1"/>
  <c r="B44" i="13" s="1"/>
  <c r="D44" i="13" s="1"/>
  <c r="E11" i="8"/>
  <c r="F11" i="8" s="1"/>
  <c r="B11" i="13" s="1"/>
  <c r="D11" i="13" s="1"/>
  <c r="E78" i="8"/>
  <c r="F78" i="8" s="1"/>
  <c r="B78" i="13" s="1"/>
  <c r="D78" i="13" s="1"/>
  <c r="E84" i="8"/>
  <c r="F84" i="8" s="1"/>
  <c r="B84" i="13" s="1"/>
  <c r="D84" i="13" s="1"/>
  <c r="E34" i="8"/>
  <c r="F34" i="8" s="1"/>
  <c r="B34" i="13" s="1"/>
  <c r="D34" i="13" s="1"/>
  <c r="E74" i="8"/>
  <c r="F74" i="8" s="1"/>
  <c r="B74" i="13" s="1"/>
  <c r="D74" i="13" s="1"/>
  <c r="E108" i="8"/>
  <c r="F108" i="8" s="1"/>
  <c r="B108" i="13" s="1"/>
  <c r="D108" i="13" s="1"/>
  <c r="E120" i="8"/>
  <c r="F120" i="8" s="1"/>
  <c r="B120" i="13" s="1"/>
  <c r="D120" i="13" s="1"/>
  <c r="E119" i="8"/>
  <c r="F119" i="8" s="1"/>
  <c r="B119" i="13" s="1"/>
  <c r="D119" i="13" s="1"/>
  <c r="E16" i="8"/>
  <c r="F16" i="8" s="1"/>
  <c r="B16" i="13" s="1"/>
  <c r="D16" i="13" s="1"/>
  <c r="E62" i="8"/>
  <c r="F62" i="8" s="1"/>
  <c r="B62" i="13" s="1"/>
  <c r="D62" i="13" s="1"/>
  <c r="E60" i="8"/>
  <c r="F60" i="8" s="1"/>
  <c r="B60" i="13" s="1"/>
  <c r="D60" i="13" s="1"/>
  <c r="E95" i="8"/>
  <c r="F95" i="8" s="1"/>
  <c r="B95" i="13" s="1"/>
  <c r="D95" i="13" s="1"/>
  <c r="E115" i="8"/>
  <c r="F115" i="8" s="1"/>
  <c r="B115" i="13" s="1"/>
  <c r="D115" i="13" s="1"/>
  <c r="E102" i="8"/>
  <c r="F102" i="8" s="1"/>
  <c r="B102" i="13" s="1"/>
  <c r="D102" i="13" s="1"/>
  <c r="E82" i="8"/>
  <c r="F82" i="8" s="1"/>
  <c r="B82" i="13" s="1"/>
  <c r="D82" i="13" s="1"/>
  <c r="C115" i="8"/>
  <c r="C116" i="8"/>
  <c r="E116" i="8" s="1"/>
  <c r="F116" i="8" s="1"/>
  <c r="B116" i="13" s="1"/>
  <c r="D116" i="13" s="1"/>
  <c r="C3" i="8"/>
  <c r="E3" i="8" s="1"/>
  <c r="F3" i="8" s="1"/>
  <c r="B3" i="13" s="1"/>
  <c r="D3" i="13" s="1"/>
  <c r="C4" i="8"/>
  <c r="E4" i="8" s="1"/>
  <c r="F4" i="8" s="1"/>
  <c r="B4" i="13" s="1"/>
  <c r="D4" i="13" s="1"/>
  <c r="C59" i="8"/>
  <c r="E59" i="8" s="1"/>
  <c r="F59" i="8" s="1"/>
  <c r="B59" i="13" s="1"/>
  <c r="D59" i="13" s="1"/>
  <c r="C60" i="8"/>
  <c r="C29" i="8"/>
  <c r="E29" i="8" s="1"/>
  <c r="F29" i="8" s="1"/>
  <c r="B29" i="13" s="1"/>
  <c r="D29" i="13" s="1"/>
  <c r="C30" i="8"/>
  <c r="E30" i="8" s="1"/>
  <c r="F30" i="8" s="1"/>
  <c r="B30" i="13" s="1"/>
  <c r="D30" i="13" s="1"/>
  <c r="C87" i="8"/>
  <c r="E87" i="8" s="1"/>
  <c r="F87" i="8" s="1"/>
  <c r="B87" i="13" s="1"/>
  <c r="D87" i="13" s="1"/>
  <c r="C88" i="8"/>
  <c r="E88" i="8" s="1"/>
  <c r="F88" i="8" s="1"/>
  <c r="B88" i="13" s="1"/>
  <c r="D88" i="13" s="1"/>
  <c r="C35" i="8"/>
  <c r="E35" i="8" s="1"/>
  <c r="F35" i="8" s="1"/>
  <c r="B35" i="13" s="1"/>
  <c r="D35" i="13" s="1"/>
  <c r="C36" i="8"/>
  <c r="C71" i="8"/>
  <c r="E71" i="8" s="1"/>
  <c r="F71" i="8" s="1"/>
  <c r="B71" i="13" s="1"/>
  <c r="D71" i="13" s="1"/>
  <c r="C72" i="8"/>
  <c r="C107" i="8"/>
  <c r="E107" i="8" s="1"/>
  <c r="F107" i="8" s="1"/>
  <c r="B107" i="13" s="1"/>
  <c r="D107" i="13" s="1"/>
  <c r="C108" i="8"/>
  <c r="C61" i="8"/>
  <c r="E61" i="8" s="1"/>
  <c r="F61" i="8" s="1"/>
  <c r="B61" i="13" s="1"/>
  <c r="D61" i="13" s="1"/>
  <c r="C62" i="8"/>
  <c r="C49" i="8"/>
  <c r="E49" i="8" s="1"/>
  <c r="F49" i="8" s="1"/>
  <c r="B49" i="13" s="1"/>
  <c r="D49" i="13" s="1"/>
  <c r="C50" i="8"/>
  <c r="E50" i="8" s="1"/>
  <c r="F50" i="8" s="1"/>
  <c r="B50" i="13" s="1"/>
  <c r="D50" i="13" s="1"/>
  <c r="C37" i="8"/>
  <c r="E37" i="8" s="1"/>
  <c r="F37" i="8" s="1"/>
  <c r="B37" i="13" s="1"/>
  <c r="D37" i="13" s="1"/>
  <c r="C38" i="8"/>
  <c r="E38" i="8" s="1"/>
  <c r="F38" i="8" s="1"/>
  <c r="B38" i="13" s="1"/>
  <c r="D38" i="13" s="1"/>
  <c r="C21" i="8"/>
  <c r="E21" i="8" s="1"/>
  <c r="F21" i="8" s="1"/>
  <c r="B21" i="13" s="1"/>
  <c r="D21" i="13" s="1"/>
  <c r="C22" i="8"/>
  <c r="E22" i="8" s="1"/>
  <c r="F22" i="8" s="1"/>
  <c r="B22" i="13" s="1"/>
  <c r="D22" i="13" s="1"/>
  <c r="C57" i="8"/>
  <c r="E57" i="8" s="1"/>
  <c r="F57" i="8" s="1"/>
  <c r="B57" i="13" s="1"/>
  <c r="D57" i="13" s="1"/>
  <c r="C58" i="8"/>
  <c r="E58" i="8" s="1"/>
  <c r="F58" i="8" s="1"/>
  <c r="B58" i="13" s="1"/>
  <c r="D58" i="13" s="1"/>
  <c r="C93" i="8"/>
  <c r="E93" i="8" s="1"/>
  <c r="F93" i="8" s="1"/>
  <c r="B93" i="13" s="1"/>
  <c r="D93" i="13" s="1"/>
  <c r="C94" i="8"/>
  <c r="E94" i="8" s="1"/>
  <c r="F94" i="8" s="1"/>
  <c r="B94" i="13" s="1"/>
  <c r="D94" i="13" s="1"/>
  <c r="C89" i="8"/>
  <c r="E89" i="8" s="1"/>
  <c r="F89" i="8" s="1"/>
  <c r="B89" i="13" s="1"/>
  <c r="D89" i="13" s="1"/>
  <c r="C90" i="8"/>
  <c r="E90" i="8" s="1"/>
  <c r="F90" i="8" s="1"/>
  <c r="B90" i="13" s="1"/>
  <c r="D90" i="13" s="1"/>
  <c r="C13" i="8"/>
  <c r="E13" i="8" s="1"/>
  <c r="F13" i="8" s="1"/>
  <c r="B13" i="13" s="1"/>
  <c r="D13" i="13" s="1"/>
  <c r="C14" i="8"/>
  <c r="E14" i="8" s="1"/>
  <c r="F14" i="8" s="1"/>
  <c r="B14" i="13" s="1"/>
  <c r="D14" i="13" s="1"/>
  <c r="C91" i="8"/>
  <c r="E91" i="8" s="1"/>
  <c r="F91" i="8" s="1"/>
  <c r="B91" i="13" s="1"/>
  <c r="D91" i="13" s="1"/>
  <c r="C92" i="8"/>
  <c r="E92" i="8" s="1"/>
  <c r="F92" i="8" s="1"/>
  <c r="B92" i="13" s="1"/>
  <c r="D92" i="13" s="1"/>
  <c r="C39" i="8"/>
  <c r="E39" i="8" s="1"/>
  <c r="F39" i="8" s="1"/>
  <c r="B39" i="13" s="1"/>
  <c r="D39" i="13" s="1"/>
  <c r="C40" i="8"/>
  <c r="E40" i="8" s="1"/>
  <c r="F40" i="8" s="1"/>
  <c r="B40" i="13" s="1"/>
  <c r="D40" i="13" s="1"/>
  <c r="C95" i="8"/>
  <c r="C96" i="8"/>
  <c r="E96" i="8" s="1"/>
  <c r="F96" i="8" s="1"/>
  <c r="B96" i="13" s="1"/>
  <c r="D96" i="13" s="1"/>
  <c r="C65" i="8"/>
  <c r="E65" i="8" s="1"/>
  <c r="F65" i="8" s="1"/>
  <c r="B65" i="13" s="1"/>
  <c r="D65" i="13" s="1"/>
  <c r="C66" i="8"/>
  <c r="E66" i="8" s="1"/>
  <c r="F66" i="8" s="1"/>
  <c r="B66" i="13" s="1"/>
  <c r="D66" i="13" s="1"/>
  <c r="C19" i="8"/>
  <c r="E19" i="8" s="1"/>
  <c r="F19" i="8" s="1"/>
  <c r="B19" i="13" s="1"/>
  <c r="D19" i="13" s="1"/>
  <c r="C20" i="8"/>
  <c r="E20" i="8" s="1"/>
  <c r="F20" i="8" s="1"/>
  <c r="B20" i="13" s="1"/>
  <c r="D20" i="13" s="1"/>
  <c r="C51" i="8"/>
  <c r="E51" i="8" s="1"/>
  <c r="F51" i="8" s="1"/>
  <c r="B51" i="13" s="1"/>
  <c r="D51" i="13" s="1"/>
  <c r="C52" i="8"/>
  <c r="E52" i="8" s="1"/>
  <c r="F52" i="8" s="1"/>
  <c r="B52" i="13" s="1"/>
  <c r="D52" i="13" s="1"/>
  <c r="C5" i="8"/>
  <c r="E5" i="8" s="1"/>
  <c r="F5" i="8" s="1"/>
  <c r="B5" i="13" s="1"/>
  <c r="D5" i="13" s="1"/>
  <c r="C6" i="8"/>
  <c r="E6" i="8" s="1"/>
  <c r="F6" i="8" s="1"/>
  <c r="B6" i="13" s="1"/>
  <c r="D6" i="13" s="1"/>
  <c r="C41" i="8"/>
  <c r="E41" i="8" s="1"/>
  <c r="F41" i="8" s="1"/>
  <c r="B41" i="13" s="1"/>
  <c r="D41" i="13" s="1"/>
  <c r="C42" i="8"/>
  <c r="E42" i="8" s="1"/>
  <c r="F42" i="8" s="1"/>
  <c r="B42" i="13" s="1"/>
  <c r="D42" i="13" s="1"/>
  <c r="C77" i="8"/>
  <c r="E77" i="8" s="1"/>
  <c r="F77" i="8" s="1"/>
  <c r="B77" i="13" s="1"/>
  <c r="D77" i="13" s="1"/>
  <c r="C78" i="8"/>
  <c r="C113" i="8"/>
  <c r="E113" i="8" s="1"/>
  <c r="F113" i="8" s="1"/>
  <c r="B113" i="13" s="1"/>
  <c r="D113" i="13" s="1"/>
  <c r="C114" i="8"/>
  <c r="E114" i="8" s="1"/>
  <c r="F114" i="8" s="1"/>
  <c r="B114" i="13" s="1"/>
  <c r="D114" i="13" s="1"/>
  <c r="C79" i="8"/>
  <c r="E79" i="8" s="1"/>
  <c r="F79" i="8" s="1"/>
  <c r="B79" i="13" s="1"/>
  <c r="D79" i="13" s="1"/>
  <c r="C80" i="8"/>
  <c r="C67" i="8"/>
  <c r="E67" i="8" s="1"/>
  <c r="F67" i="8" s="1"/>
  <c r="B67" i="13" s="1"/>
  <c r="D67" i="13" s="1"/>
  <c r="C68" i="8"/>
  <c r="E68" i="8" s="1"/>
  <c r="F68" i="8" s="1"/>
  <c r="B68" i="13" s="1"/>
  <c r="D68" i="13" s="1"/>
  <c r="C55" i="8"/>
  <c r="E55" i="8" s="1"/>
  <c r="F55" i="8" s="1"/>
  <c r="B55" i="13" s="1"/>
  <c r="D55" i="13" s="1"/>
  <c r="C56" i="8"/>
  <c r="E56" i="8" s="1"/>
  <c r="F56" i="8" s="1"/>
  <c r="B56" i="13" s="1"/>
  <c r="D56" i="13" s="1"/>
  <c r="C27" i="8"/>
  <c r="E27" i="8" s="1"/>
  <c r="F27" i="8" s="1"/>
  <c r="B27" i="13" s="1"/>
  <c r="D27" i="13" s="1"/>
  <c r="C28" i="8"/>
  <c r="C63" i="8"/>
  <c r="E63" i="8" s="1"/>
  <c r="F63" i="8" s="1"/>
  <c r="B63" i="13" s="1"/>
  <c r="D63" i="13" s="1"/>
  <c r="C64" i="8"/>
  <c r="E64" i="8" s="1"/>
  <c r="F64" i="8" s="1"/>
  <c r="B64" i="13" s="1"/>
  <c r="D64" i="13" s="1"/>
  <c r="C99" i="8"/>
  <c r="E99" i="8" s="1"/>
  <c r="F99" i="8" s="1"/>
  <c r="B99" i="13" s="1"/>
  <c r="D99" i="13" s="1"/>
  <c r="C100" i="8"/>
  <c r="E100" i="8" s="1"/>
  <c r="F100" i="8" s="1"/>
  <c r="B100" i="13" s="1"/>
  <c r="D100" i="13" s="1"/>
  <c r="C53" i="8"/>
  <c r="E53" i="8" s="1"/>
  <c r="F53" i="8" s="1"/>
  <c r="B53" i="13" s="1"/>
  <c r="D53" i="13" s="1"/>
  <c r="C54" i="8"/>
  <c r="E54" i="8" s="1"/>
  <c r="F54" i="8" s="1"/>
  <c r="B54" i="13" s="1"/>
  <c r="D54" i="13" s="1"/>
  <c r="C103" i="8"/>
  <c r="E103" i="8" s="1"/>
  <c r="F103" i="8" s="1"/>
  <c r="B103" i="13" s="1"/>
  <c r="D103" i="13" s="1"/>
  <c r="C104" i="8"/>
  <c r="E104" i="8" s="1"/>
  <c r="F104" i="8" s="1"/>
  <c r="B104" i="13" s="1"/>
  <c r="D104" i="13" s="1"/>
  <c r="C111" i="8"/>
  <c r="E111" i="8" s="1"/>
  <c r="F111" i="8" s="1"/>
  <c r="B111" i="13" s="1"/>
  <c r="D111" i="13" s="1"/>
  <c r="C112" i="8"/>
  <c r="E112" i="8" s="1"/>
  <c r="F112" i="8" s="1"/>
  <c r="B112" i="13" s="1"/>
  <c r="D112" i="13" s="1"/>
  <c r="C101" i="8"/>
  <c r="E101" i="8" s="1"/>
  <c r="F101" i="8" s="1"/>
  <c r="B101" i="13" s="1"/>
  <c r="D101" i="13" s="1"/>
  <c r="C102" i="8"/>
  <c r="C43" i="8"/>
  <c r="E43" i="8" s="1"/>
  <c r="F43" i="8" s="1"/>
  <c r="B43" i="13" s="1"/>
  <c r="D43" i="13" s="1"/>
  <c r="C44" i="8"/>
  <c r="C25" i="8"/>
  <c r="E25" i="8" s="1"/>
  <c r="F25" i="8" s="1"/>
  <c r="B25" i="13" s="1"/>
  <c r="D25" i="13" s="1"/>
  <c r="C26" i="8"/>
  <c r="E26" i="8" s="1"/>
  <c r="F26" i="8" s="1"/>
  <c r="B26" i="13" s="1"/>
  <c r="D26" i="13" s="1"/>
  <c r="C15" i="8"/>
  <c r="E15" i="8" s="1"/>
  <c r="F15" i="8" s="1"/>
  <c r="B15" i="13" s="1"/>
  <c r="D15" i="13" s="1"/>
  <c r="C16" i="8"/>
  <c r="C11" i="8"/>
  <c r="C12" i="8"/>
  <c r="E12" i="8" s="1"/>
  <c r="F12" i="8" s="1"/>
  <c r="B12" i="13" s="1"/>
  <c r="D12" i="13" s="1"/>
  <c r="C47" i="8"/>
  <c r="E47" i="8" s="1"/>
  <c r="F47" i="8" s="1"/>
  <c r="B47" i="13" s="1"/>
  <c r="D47" i="13" s="1"/>
  <c r="C48" i="8"/>
  <c r="E48" i="8" s="1"/>
  <c r="F48" i="8" s="1"/>
  <c r="B48" i="13" s="1"/>
  <c r="D48" i="13" s="1"/>
  <c r="C83" i="8"/>
  <c r="E83" i="8" s="1"/>
  <c r="F83" i="8" s="1"/>
  <c r="B83" i="13" s="1"/>
  <c r="D83" i="13" s="1"/>
  <c r="C84" i="8"/>
  <c r="C97" i="8"/>
  <c r="E97" i="8" s="1"/>
  <c r="F97" i="8" s="1"/>
  <c r="B97" i="13" s="1"/>
  <c r="D97" i="13" s="1"/>
  <c r="C98" i="8"/>
  <c r="E98" i="8" s="1"/>
  <c r="F98" i="8" s="1"/>
  <c r="B98" i="13" s="1"/>
  <c r="D98" i="13" s="1"/>
  <c r="C85" i="8"/>
  <c r="E85" i="8" s="1"/>
  <c r="F85" i="8" s="1"/>
  <c r="B85" i="13" s="1"/>
  <c r="D85" i="13" s="1"/>
  <c r="C86" i="8"/>
  <c r="E86" i="8" s="1"/>
  <c r="F86" i="8" s="1"/>
  <c r="B86" i="13" s="1"/>
  <c r="D86" i="13" s="1"/>
  <c r="C73" i="8"/>
  <c r="E73" i="8" s="1"/>
  <c r="F73" i="8" s="1"/>
  <c r="B73" i="13" s="1"/>
  <c r="D73" i="13" s="1"/>
  <c r="C74" i="8"/>
  <c r="C33" i="8"/>
  <c r="E33" i="8" s="1"/>
  <c r="F33" i="8" s="1"/>
  <c r="B33" i="13" s="1"/>
  <c r="D33" i="13" s="1"/>
  <c r="C34" i="8"/>
  <c r="C69" i="8"/>
  <c r="E69" i="8" s="1"/>
  <c r="F69" i="8" s="1"/>
  <c r="B69" i="13" s="1"/>
  <c r="D69" i="13" s="1"/>
  <c r="C70" i="8"/>
  <c r="E70" i="8" s="1"/>
  <c r="F70" i="8" s="1"/>
  <c r="B70" i="13" s="1"/>
  <c r="D70" i="13" s="1"/>
  <c r="C105" i="8"/>
  <c r="E105" i="8" s="1"/>
  <c r="F105" i="8" s="1"/>
  <c r="B105" i="13" s="1"/>
  <c r="D105" i="13" s="1"/>
  <c r="C106" i="8"/>
  <c r="C17" i="8"/>
  <c r="E17" i="8" s="1"/>
  <c r="F17" i="8" s="1"/>
  <c r="B17" i="13" s="1"/>
  <c r="D17" i="13" s="1"/>
  <c r="C18" i="8"/>
  <c r="E18" i="8" s="1"/>
  <c r="F18" i="8" s="1"/>
  <c r="B18" i="13" s="1"/>
  <c r="D18" i="13" s="1"/>
  <c r="C75" i="8"/>
  <c r="E75" i="8" s="1"/>
  <c r="F75" i="8" s="1"/>
  <c r="B75" i="13" s="1"/>
  <c r="D75" i="13" s="1"/>
  <c r="C76" i="8"/>
  <c r="E76" i="8" s="1"/>
  <c r="F76" i="8" s="1"/>
  <c r="B76" i="13" s="1"/>
  <c r="D76" i="13" s="1"/>
  <c r="C23" i="8"/>
  <c r="E23" i="8" s="1"/>
  <c r="F23" i="8" s="1"/>
  <c r="B23" i="13" s="1"/>
  <c r="D23" i="13" s="1"/>
  <c r="C24" i="8"/>
  <c r="E24" i="8" s="1"/>
  <c r="F24" i="8" s="1"/>
  <c r="B24" i="13" s="1"/>
  <c r="D24" i="13" s="1"/>
  <c r="C31" i="8"/>
  <c r="E31" i="8" s="1"/>
  <c r="F31" i="8" s="1"/>
  <c r="B31" i="13" s="1"/>
  <c r="D31" i="13" s="1"/>
  <c r="C32" i="8"/>
  <c r="E32" i="8" s="1"/>
  <c r="F32" i="8" s="1"/>
  <c r="B32" i="13" s="1"/>
  <c r="D32" i="13" s="1"/>
  <c r="C7" i="8"/>
  <c r="E7" i="8" s="1"/>
  <c r="F7" i="8" s="1"/>
  <c r="B7" i="13" s="1"/>
  <c r="D7" i="13" s="1"/>
  <c r="C8" i="8"/>
  <c r="E8" i="8" s="1"/>
  <c r="F8" i="8" s="1"/>
  <c r="B8" i="13" s="1"/>
  <c r="D8" i="13" s="1"/>
  <c r="C109" i="8"/>
  <c r="E109" i="8" s="1"/>
  <c r="F109" i="8" s="1"/>
  <c r="B109" i="13" s="1"/>
  <c r="D109" i="13" s="1"/>
  <c r="C110" i="8"/>
  <c r="E110" i="8" s="1"/>
  <c r="F110" i="8" s="1"/>
  <c r="B110" i="13" s="1"/>
  <c r="D110" i="13" s="1"/>
  <c r="C9" i="8"/>
  <c r="E9" i="8" s="1"/>
  <c r="F9" i="8" s="1"/>
  <c r="B9" i="13" s="1"/>
  <c r="D9" i="13" s="1"/>
  <c r="C10" i="8"/>
  <c r="E10" i="8" s="1"/>
  <c r="F10" i="8" s="1"/>
  <c r="B10" i="13" s="1"/>
  <c r="D10" i="13" s="1"/>
  <c r="C45" i="8"/>
  <c r="E45" i="8" s="1"/>
  <c r="F45" i="8" s="1"/>
  <c r="B45" i="13" s="1"/>
  <c r="D45" i="13" s="1"/>
  <c r="C46" i="8"/>
  <c r="E46" i="8" s="1"/>
  <c r="F46" i="8" s="1"/>
  <c r="B46" i="13" s="1"/>
  <c r="D46" i="13" s="1"/>
  <c r="C81" i="8"/>
  <c r="E81" i="8" s="1"/>
  <c r="F81" i="8" s="1"/>
  <c r="B81" i="13" s="1"/>
  <c r="D81" i="13" s="1"/>
  <c r="C82" i="8"/>
  <c r="C117" i="8"/>
  <c r="E117" i="8" s="1"/>
  <c r="F117" i="8" s="1"/>
  <c r="B117" i="13" s="1"/>
  <c r="D117" i="13" s="1"/>
  <c r="C118" i="8"/>
  <c r="E118" i="8" s="1"/>
  <c r="F118" i="8" s="1"/>
  <c r="B118" i="13" s="1"/>
  <c r="D118" i="13" s="1"/>
  <c r="I5" i="13" l="1"/>
  <c r="I7" i="13"/>
  <c r="I6" i="13"/>
  <c r="C3" i="16"/>
  <c r="I17" i="13"/>
  <c r="I18" i="13"/>
  <c r="C5" i="16" s="1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s="1"/>
  <c r="F44" i="13" s="1"/>
  <c r="F45" i="13" s="1"/>
  <c r="F46" i="13" s="1"/>
  <c r="F47" i="13" s="1"/>
  <c r="F48" i="13" s="1"/>
  <c r="F49" i="13" s="1"/>
  <c r="F50" i="13" s="1"/>
  <c r="F51" i="13" s="1"/>
  <c r="F52" i="13" s="1"/>
  <c r="F53" i="13" s="1"/>
  <c r="F54" i="13" s="1"/>
  <c r="F55" i="13" s="1"/>
  <c r="F56" i="13" s="1"/>
  <c r="F57" i="13" s="1"/>
  <c r="F58" i="13" s="1"/>
  <c r="F59" i="13" s="1"/>
  <c r="F60" i="13" s="1"/>
  <c r="F61" i="13" s="1"/>
  <c r="F62" i="13" s="1"/>
  <c r="F63" i="13" s="1"/>
  <c r="F64" i="13" s="1"/>
  <c r="F65" i="13" s="1"/>
  <c r="F66" i="13" s="1"/>
  <c r="F67" i="13" s="1"/>
  <c r="F68" i="13" s="1"/>
  <c r="F69" i="13" s="1"/>
  <c r="F70" i="13" s="1"/>
  <c r="F71" i="13" s="1"/>
  <c r="F72" i="13" s="1"/>
  <c r="F73" i="13" s="1"/>
  <c r="F74" i="13" s="1"/>
  <c r="F75" i="13" s="1"/>
  <c r="F76" i="13" s="1"/>
  <c r="F77" i="13" s="1"/>
  <c r="F78" i="13" s="1"/>
  <c r="F79" i="13" s="1"/>
  <c r="F80" i="13" s="1"/>
  <c r="F81" i="13" s="1"/>
  <c r="F82" i="13" s="1"/>
  <c r="F83" i="13" s="1"/>
  <c r="F84" i="13" s="1"/>
  <c r="F85" i="13" s="1"/>
  <c r="F86" i="13" s="1"/>
  <c r="F87" i="13" s="1"/>
  <c r="F88" i="13" s="1"/>
  <c r="F89" i="13" s="1"/>
  <c r="F90" i="13" s="1"/>
  <c r="F91" i="13" s="1"/>
  <c r="F92" i="13" s="1"/>
  <c r="F93" i="13" s="1"/>
  <c r="F94" i="13" s="1"/>
  <c r="F95" i="13" s="1"/>
  <c r="F96" i="13" s="1"/>
  <c r="F97" i="13" s="1"/>
  <c r="F98" i="13" s="1"/>
  <c r="F99" i="13" s="1"/>
  <c r="F100" i="13" s="1"/>
  <c r="F101" i="13" s="1"/>
  <c r="F102" i="13" s="1"/>
  <c r="F103" i="13" s="1"/>
  <c r="F104" i="13" s="1"/>
  <c r="F105" i="13" s="1"/>
  <c r="F106" i="13" s="1"/>
  <c r="F107" i="13" s="1"/>
  <c r="F108" i="13" s="1"/>
  <c r="F109" i="13" s="1"/>
  <c r="F110" i="13" s="1"/>
  <c r="F111" i="13" s="1"/>
  <c r="F112" i="13" s="1"/>
  <c r="F113" i="13" s="1"/>
  <c r="F114" i="13" s="1"/>
  <c r="F115" i="13" s="1"/>
  <c r="F116" i="13" s="1"/>
  <c r="F117" i="13" s="1"/>
  <c r="F118" i="13" s="1"/>
  <c r="F119" i="13" s="1"/>
  <c r="F120" i="13" s="1"/>
  <c r="B14" i="14"/>
  <c r="B14" i="15"/>
  <c r="C4" i="16" l="1"/>
  <c r="I19" i="13"/>
  <c r="C6" i="16" s="1"/>
</calcChain>
</file>

<file path=xl/sharedStrings.xml><?xml version="1.0" encoding="utf-8"?>
<sst xmlns="http://schemas.openxmlformats.org/spreadsheetml/2006/main" count="177" uniqueCount="104">
  <si>
    <t>DATE</t>
  </si>
  <si>
    <t>GDP</t>
  </si>
  <si>
    <t>DATES</t>
  </si>
  <si>
    <t>NIFTY PE RATIO</t>
  </si>
  <si>
    <t>Net FII (cr)</t>
  </si>
  <si>
    <t>NIFTY 50</t>
  </si>
  <si>
    <t>NIFTY BANK</t>
  </si>
  <si>
    <t>NIFTY IT</t>
  </si>
  <si>
    <t>GOLD</t>
  </si>
  <si>
    <t>10Y G-SEC</t>
  </si>
  <si>
    <t>USD/INR</t>
  </si>
  <si>
    <t>% CHANGE</t>
  </si>
  <si>
    <t>CPI</t>
  </si>
  <si>
    <t>REPO RATE</t>
  </si>
  <si>
    <t>INDIA VIX</t>
  </si>
  <si>
    <t>GOLD/NIFTY</t>
  </si>
  <si>
    <t>GOLD usd</t>
  </si>
  <si>
    <t>GOLD/10gram inr</t>
  </si>
  <si>
    <t>VIX  CHANGE</t>
  </si>
  <si>
    <t>USD/INR % CHANGE</t>
  </si>
  <si>
    <t>OIL % CHANGE</t>
  </si>
  <si>
    <t>INDICATORS</t>
  </si>
  <si>
    <t>DIRECTION</t>
  </si>
  <si>
    <t>FORMULA</t>
  </si>
  <si>
    <t>⬇️ High GDP = Low Risk</t>
  </si>
  <si>
    <t>⬆️ High CPI = High Risk</t>
  </si>
  <si>
    <t>⬆️ High Rate = High Risk</t>
  </si>
  <si>
    <t>⬆️ High VIX = High Risk</t>
  </si>
  <si>
    <t>⬆️ High PE = High Risk</t>
  </si>
  <si>
    <t>⬆️ High Ratio = High Risk</t>
  </si>
  <si>
    <t>⬆️ High Change = High Risk</t>
  </si>
  <si>
    <t>⬇️ High Inflow = Low Risk</t>
  </si>
  <si>
    <t>INVERSE</t>
  </si>
  <si>
    <t>NORMAL</t>
  </si>
  <si>
    <t>% CHANGE2</t>
  </si>
  <si>
    <t>% CHANGE3</t>
  </si>
  <si>
    <t>% CHANGE4</t>
  </si>
  <si>
    <t>% CHANGE5</t>
  </si>
  <si>
    <t>% CHANGE6</t>
  </si>
  <si>
    <t>MACRO SCORE</t>
  </si>
  <si>
    <t>MARKET SCORE</t>
  </si>
  <si>
    <t>EXTERNAL SCORE</t>
  </si>
  <si>
    <t>COMPOSITE SCORE</t>
  </si>
  <si>
    <t>SIGNAL</t>
  </si>
  <si>
    <t>Asset</t>
  </si>
  <si>
    <t>Green</t>
  </si>
  <si>
    <t>Amber</t>
  </si>
  <si>
    <t>Red</t>
  </si>
  <si>
    <t>Nifty 50</t>
  </si>
  <si>
    <t>Nifty Bank</t>
  </si>
  <si>
    <t>Nifty IT</t>
  </si>
  <si>
    <t>Gold</t>
  </si>
  <si>
    <t>Bonds</t>
  </si>
  <si>
    <t>Score_Min</t>
  </si>
  <si>
    <t>Score_Max</t>
  </si>
  <si>
    <t>Signal</t>
  </si>
  <si>
    <t>2016 DEMONETISATION</t>
  </si>
  <si>
    <t>2018 IL &amp; FC</t>
  </si>
  <si>
    <t>2020 COVID</t>
  </si>
  <si>
    <t>2022 RATE HIKES</t>
  </si>
  <si>
    <t>10Y g-sec YIELD</t>
  </si>
  <si>
    <t>STRESS PERIOD</t>
  </si>
  <si>
    <t>Stress Period</t>
  </si>
  <si>
    <t>2016 Demonetisation</t>
  </si>
  <si>
    <t>2018 IL&amp;FS</t>
  </si>
  <si>
    <t>2022 Rate Hikes</t>
  </si>
  <si>
    <t>Best Asset</t>
  </si>
  <si>
    <t>Return</t>
  </si>
  <si>
    <t>Worst Asset</t>
  </si>
  <si>
    <t>Cumulative Return Per Stress Period</t>
  </si>
  <si>
    <t>NIFTY Bank</t>
  </si>
  <si>
    <t>Best and Worst Asset Per Stress Period</t>
  </si>
  <si>
    <t>Transition</t>
  </si>
  <si>
    <t>Green → Amber</t>
  </si>
  <si>
    <t>Amber → Red</t>
  </si>
  <si>
    <t>Red → Amber</t>
  </si>
  <si>
    <t>Amber → Green</t>
  </si>
  <si>
    <t>TOTAL</t>
  </si>
  <si>
    <t>EWS SIGNAL</t>
  </si>
  <si>
    <t>EWS Adjusted Portfolio Return</t>
  </si>
  <si>
    <t>Cumulative Actual Return</t>
  </si>
  <si>
    <t>Actual Portfolio Return</t>
  </si>
  <si>
    <t>Cumulative EWS Return</t>
  </si>
  <si>
    <t>SIGNAL COUNT</t>
  </si>
  <si>
    <t>MEAN</t>
  </si>
  <si>
    <t>Std. DEVIATION</t>
  </si>
  <si>
    <t>EWS Portfolio Return</t>
  </si>
  <si>
    <t>Cumulative return</t>
  </si>
  <si>
    <t>Sharp Ratio</t>
  </si>
  <si>
    <t>Std. Deviation</t>
  </si>
  <si>
    <t>Mean</t>
  </si>
  <si>
    <t>Cumulative Return</t>
  </si>
  <si>
    <t>Metric</t>
  </si>
  <si>
    <t>Std Deviation</t>
  </si>
  <si>
    <t>Actual</t>
  </si>
  <si>
    <t>EWS</t>
  </si>
  <si>
    <t>Max Drawdown</t>
  </si>
  <si>
    <t>Mean Monthly Return</t>
  </si>
  <si>
    <t>Sharpe Ratio</t>
  </si>
  <si>
    <t>Monte Carlo Worst Case</t>
  </si>
  <si>
    <t>Monte Carlo Std Dev</t>
  </si>
  <si>
    <t>c</t>
  </si>
  <si>
    <t>Monte Carlo Best Case</t>
  </si>
  <si>
    <t>Monte Carlo Likely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</si>
</sst>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169" formatCode="_-[$$-409]* #,##0.00_ ;_-[$$-409]* \-#,##0.00\ ;_-[$$-409]* &quot;-&quot;??_ ;_-@_ "/>
    <numFmt numFmtId="171" formatCode="_ [$₹-4009]\ * #,##0.00_ ;_ [$₹-4009]\ * \-#,##0.00_ ;_ [$₹-4009]\ * &quot;-&quot;??_ ;_ @_ "/>
    <numFmt numFmtId="172" formatCode="0.000"/>
    <numFmt numFmtId="175" formatCode="_ &quot;₹&quot;\ * #,##0_ ;_ &quot;₹&quot;\ * \-#,##0_ ;_ &quot;₹&quot;\ * &quot;-&quot;??_ ;_ @_ "/>
    <numFmt numFmtId="186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theme="1"/>
      <name val="Arial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0"/>
      <color rgb="FF000000"/>
      <name val="Arial"/>
      <family val="2"/>
    </font>
    <font>
      <b/>
      <sz val="11"/>
      <color theme="1"/>
      <name val="Arial Narrow"/>
      <family val="2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186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3" xfId="0" applyFill="1" applyBorder="1"/>
    <xf numFmtId="14" fontId="0" fillId="0" borderId="4" xfId="0" applyNumberFormat="1" applyBorder="1"/>
    <xf numFmtId="14" fontId="0" fillId="0" borderId="5" xfId="0" applyNumberFormat="1" applyBorder="1"/>
    <xf numFmtId="0" fontId="4" fillId="2" borderId="7" xfId="0" applyFont="1" applyFill="1" applyBorder="1"/>
    <xf numFmtId="0" fontId="4" fillId="2" borderId="1" xfId="0" applyFont="1" applyFill="1" applyBorder="1"/>
    <xf numFmtId="0" fontId="0" fillId="0" borderId="5" xfId="0" applyBorder="1"/>
    <xf numFmtId="10" fontId="0" fillId="0" borderId="11" xfId="0" applyNumberFormat="1" applyBorder="1"/>
    <xf numFmtId="2" fontId="0" fillId="0" borderId="9" xfId="0" applyNumberFormat="1" applyBorder="1"/>
    <xf numFmtId="0" fontId="4" fillId="2" borderId="14" xfId="0" applyFont="1" applyFill="1" applyBorder="1"/>
    <xf numFmtId="2" fontId="0" fillId="0" borderId="0" xfId="0" applyNumberFormat="1" applyBorder="1"/>
    <xf numFmtId="2" fontId="0" fillId="0" borderId="15" xfId="0" applyNumberFormat="1" applyBorder="1"/>
    <xf numFmtId="10" fontId="0" fillId="0" borderId="0" xfId="0" applyNumberFormat="1" applyBorder="1"/>
    <xf numFmtId="10" fontId="0" fillId="0" borderId="15" xfId="0" applyNumberFormat="1" applyBorder="1"/>
    <xf numFmtId="2" fontId="4" fillId="2" borderId="8" xfId="0" applyNumberFormat="1" applyFont="1" applyFill="1" applyBorder="1"/>
    <xf numFmtId="9" fontId="0" fillId="0" borderId="0" xfId="0" applyNumberFormat="1"/>
    <xf numFmtId="0" fontId="4" fillId="2" borderId="1" xfId="0" applyFont="1" applyFill="1" applyBorder="1" applyAlignment="1">
      <alignment horizontal="center"/>
    </xf>
    <xf numFmtId="2" fontId="4" fillId="2" borderId="3" xfId="0" applyNumberFormat="1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2" fontId="4" fillId="2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1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1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2" fontId="4" fillId="2" borderId="6" xfId="0" applyNumberFormat="1" applyFont="1" applyFill="1" applyBorder="1" applyAlignment="1">
      <alignment horizontal="center"/>
    </xf>
    <xf numFmtId="2" fontId="4" fillId="2" borderId="12" xfId="0" applyNumberFormat="1" applyFont="1" applyFill="1" applyBorder="1" applyAlignment="1">
      <alignment horizontal="center"/>
    </xf>
    <xf numFmtId="2" fontId="2" fillId="2" borderId="6" xfId="0" applyNumberFormat="1" applyFont="1" applyFill="1" applyBorder="1" applyAlignment="1">
      <alignment horizontal="center"/>
    </xf>
    <xf numFmtId="2" fontId="4" fillId="2" borderId="5" xfId="0" applyNumberFormat="1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9" xfId="0" applyNumberFormat="1" applyBorder="1" applyAlignment="1">
      <alignment horizontal="center"/>
    </xf>
    <xf numFmtId="14" fontId="2" fillId="2" borderId="9" xfId="0" applyNumberFormat="1" applyFont="1" applyFill="1" applyBorder="1" applyAlignment="1">
      <alignment horizontal="center"/>
    </xf>
    <xf numFmtId="171" fontId="2" fillId="2" borderId="4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44" fontId="2" fillId="2" borderId="4" xfId="0" applyNumberFormat="1" applyFont="1" applyFill="1" applyBorder="1" applyAlignment="1">
      <alignment horizontal="center"/>
    </xf>
    <xf numFmtId="169" fontId="2" fillId="2" borderId="4" xfId="1" applyNumberFormat="1" applyFont="1" applyFill="1" applyBorder="1" applyAlignment="1">
      <alignment horizontal="center"/>
    </xf>
    <xf numFmtId="171" fontId="2" fillId="2" borderId="0" xfId="1" applyNumberFormat="1" applyFont="1" applyFill="1" applyBorder="1" applyAlignment="1">
      <alignment horizontal="center"/>
    </xf>
    <xf numFmtId="171" fontId="2" fillId="2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171" fontId="0" fillId="0" borderId="4" xfId="0" applyNumberFormat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169" fontId="0" fillId="0" borderId="7" xfId="1" applyNumberFormat="1" applyFont="1" applyBorder="1" applyAlignment="1">
      <alignment horizontal="center"/>
    </xf>
    <xf numFmtId="171" fontId="0" fillId="0" borderId="0" xfId="1" applyNumberFormat="1" applyFon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171" fontId="0" fillId="0" borderId="7" xfId="0" applyNumberFormat="1" applyBorder="1" applyAlignment="1">
      <alignment horizontal="center"/>
    </xf>
    <xf numFmtId="10" fontId="0" fillId="0" borderId="14" xfId="0" applyNumberFormat="1" applyBorder="1" applyAlignment="1">
      <alignment horizontal="center"/>
    </xf>
    <xf numFmtId="169" fontId="0" fillId="0" borderId="4" xfId="1" applyNumberFormat="1" applyFon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169" fontId="0" fillId="0" borderId="0" xfId="1" applyNumberFormat="1" applyFont="1" applyAlignment="1">
      <alignment horizontal="center"/>
    </xf>
    <xf numFmtId="171" fontId="0" fillId="0" borderId="0" xfId="1" applyNumberFormat="1" applyFont="1" applyAlignment="1">
      <alignment horizontal="center"/>
    </xf>
    <xf numFmtId="14" fontId="4" fillId="2" borderId="15" xfId="0" applyNumberFormat="1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75" fontId="4" fillId="2" borderId="5" xfId="0" applyNumberFormat="1" applyFont="1" applyFill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75" fontId="0" fillId="0" borderId="4" xfId="0" applyNumberFormat="1" applyBorder="1" applyAlignment="1">
      <alignment horizontal="center"/>
    </xf>
    <xf numFmtId="0" fontId="3" fillId="0" borderId="0" xfId="0" applyFont="1" applyAlignment="1">
      <alignment horizontal="center" vertical="center"/>
    </xf>
    <xf numFmtId="14" fontId="0" fillId="0" borderId="15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0" fontId="0" fillId="0" borderId="6" xfId="0" applyNumberFormat="1" applyBorder="1" applyAlignment="1">
      <alignment horizontal="center"/>
    </xf>
    <xf numFmtId="175" fontId="0" fillId="0" borderId="5" xfId="0" applyNumberFormat="1" applyBorder="1" applyAlignment="1">
      <alignment horizontal="center"/>
    </xf>
    <xf numFmtId="175" fontId="0" fillId="0" borderId="11" xfId="0" applyNumberFormat="1" applyBorder="1" applyAlignment="1">
      <alignment horizont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9" fontId="0" fillId="7" borderId="9" xfId="0" applyNumberFormat="1" applyFill="1" applyBorder="1" applyAlignment="1">
      <alignment horizontal="center" vertical="center" wrapText="1"/>
    </xf>
    <xf numFmtId="9" fontId="0" fillId="7" borderId="6" xfId="0" applyNumberForma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9" fontId="0" fillId="5" borderId="11" xfId="0" applyNumberFormat="1" applyFill="1" applyBorder="1" applyAlignment="1">
      <alignment horizontal="center" vertical="center" wrapText="1"/>
    </xf>
    <xf numFmtId="9" fontId="0" fillId="5" borderId="12" xfId="0" applyNumberForma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9" fontId="0" fillId="6" borderId="11" xfId="0" applyNumberFormat="1" applyFill="1" applyBorder="1" applyAlignment="1">
      <alignment horizontal="center" vertical="center" wrapText="1"/>
    </xf>
    <xf numFmtId="9" fontId="0" fillId="6" borderId="12" xfId="0" applyNumberForma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2" borderId="16" xfId="0" applyFill="1" applyBorder="1"/>
    <xf numFmtId="10" fontId="0" fillId="0" borderId="9" xfId="0" applyNumberFormat="1" applyFont="1" applyBorder="1" applyAlignment="1">
      <alignment horizontal="center"/>
    </xf>
    <xf numFmtId="10" fontId="0" fillId="3" borderId="9" xfId="0" applyNumberFormat="1" applyFont="1" applyFill="1" applyBorder="1" applyAlignment="1">
      <alignment horizontal="center"/>
    </xf>
    <xf numFmtId="10" fontId="0" fillId="0" borderId="10" xfId="0" applyNumberFormat="1" applyFont="1" applyBorder="1" applyAlignment="1">
      <alignment horizontal="center"/>
    </xf>
    <xf numFmtId="10" fontId="0" fillId="0" borderId="8" xfId="0" applyNumberFormat="1" applyFont="1" applyBorder="1" applyAlignment="1">
      <alignment horizontal="center"/>
    </xf>
    <xf numFmtId="10" fontId="0" fillId="3" borderId="11" xfId="0" applyNumberFormat="1" applyFont="1" applyFill="1" applyBorder="1" applyAlignment="1">
      <alignment horizontal="center"/>
    </xf>
    <xf numFmtId="10" fontId="0" fillId="0" borderId="11" xfId="0" applyNumberFormat="1" applyFont="1" applyBorder="1" applyAlignment="1">
      <alignment horizontal="center"/>
    </xf>
    <xf numFmtId="10" fontId="0" fillId="0" borderId="12" xfId="0" applyNumberFormat="1" applyFont="1" applyBorder="1" applyAlignment="1">
      <alignment horizontal="center"/>
    </xf>
    <xf numFmtId="10" fontId="0" fillId="0" borderId="6" xfId="0" applyNumberFormat="1" applyFont="1" applyBorder="1" applyAlignment="1">
      <alignment horizontal="center"/>
    </xf>
    <xf numFmtId="10" fontId="0" fillId="3" borderId="10" xfId="0" applyNumberFormat="1" applyFont="1" applyFill="1" applyBorder="1" applyAlignment="1">
      <alignment horizontal="center"/>
    </xf>
    <xf numFmtId="10" fontId="0" fillId="3" borderId="8" xfId="0" applyNumberFormat="1" applyFont="1" applyFill="1" applyBorder="1" applyAlignment="1">
      <alignment horizontal="center"/>
    </xf>
    <xf numFmtId="10" fontId="0" fillId="3" borderId="12" xfId="0" applyNumberFormat="1" applyFont="1" applyFill="1" applyBorder="1" applyAlignment="1">
      <alignment horizontal="center"/>
    </xf>
    <xf numFmtId="10" fontId="0" fillId="3" borderId="6" xfId="0" applyNumberFormat="1" applyFont="1" applyFill="1" applyBorder="1" applyAlignment="1">
      <alignment horizontal="center"/>
    </xf>
    <xf numFmtId="14" fontId="5" fillId="0" borderId="11" xfId="0" applyNumberFormat="1" applyFont="1" applyBorder="1" applyAlignment="1">
      <alignment horizontal="center"/>
    </xf>
    <xf numFmtId="14" fontId="5" fillId="0" borderId="12" xfId="0" applyNumberFormat="1" applyFont="1" applyBorder="1" applyAlignment="1">
      <alignment horizontal="center"/>
    </xf>
    <xf numFmtId="14" fontId="5" fillId="0" borderId="10" xfId="0" applyNumberFormat="1" applyFon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6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0" fontId="0" fillId="0" borderId="0" xfId="0" applyNumberFormat="1" applyBorder="1" applyAlignment="1">
      <alignment horizontal="center" wrapText="1"/>
    </xf>
    <xf numFmtId="10" fontId="0" fillId="0" borderId="9" xfId="0" applyNumberFormat="1" applyBorder="1" applyAlignment="1">
      <alignment horizontal="center" wrapText="1"/>
    </xf>
    <xf numFmtId="10" fontId="0" fillId="0" borderId="15" xfId="0" applyNumberFormat="1" applyBorder="1" applyAlignment="1">
      <alignment horizontal="center" wrapText="1"/>
    </xf>
    <xf numFmtId="10" fontId="0" fillId="0" borderId="6" xfId="0" applyNumberFormat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17" fontId="0" fillId="0" borderId="0" xfId="0" applyNumberFormat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0" fillId="0" borderId="0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9" fontId="0" fillId="0" borderId="15" xfId="0" applyNumberFormat="1" applyBorder="1" applyAlignment="1">
      <alignment vertical="center" wrapText="1"/>
    </xf>
    <xf numFmtId="9" fontId="0" fillId="0" borderId="6" xfId="0" applyNumberFormat="1" applyBorder="1" applyAlignment="1">
      <alignment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4" fillId="2" borderId="14" xfId="0" applyNumberFormat="1" applyFont="1" applyFill="1" applyBorder="1"/>
    <xf numFmtId="2" fontId="0" fillId="0" borderId="6" xfId="0" applyNumberFormat="1" applyBorder="1"/>
    <xf numFmtId="2" fontId="4" fillId="4" borderId="0" xfId="0" applyNumberFormat="1" applyFont="1" applyFill="1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1" xfId="0" applyBorder="1"/>
    <xf numFmtId="10" fontId="0" fillId="0" borderId="1" xfId="0" applyNumberFormat="1" applyBorder="1"/>
    <xf numFmtId="0" fontId="0" fillId="0" borderId="1" xfId="0" applyFill="1" applyBorder="1"/>
    <xf numFmtId="9" fontId="0" fillId="0" borderId="1" xfId="2" applyFont="1" applyBorder="1"/>
    <xf numFmtId="10" fontId="0" fillId="0" borderId="7" xfId="0" applyNumberFormat="1" applyBorder="1"/>
    <xf numFmtId="10" fontId="0" fillId="0" borderId="4" xfId="0" applyNumberFormat="1" applyBorder="1"/>
    <xf numFmtId="10" fontId="0" fillId="0" borderId="17" xfId="0" applyNumberFormat="1" applyBorder="1"/>
    <xf numFmtId="0" fontId="2" fillId="2" borderId="13" xfId="0" applyFont="1" applyFill="1" applyBorder="1" applyAlignment="1">
      <alignment horizontal="center"/>
    </xf>
    <xf numFmtId="14" fontId="0" fillId="0" borderId="13" xfId="0" applyNumberFormat="1" applyBorder="1"/>
    <xf numFmtId="0" fontId="2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186" fontId="0" fillId="0" borderId="1" xfId="2" applyNumberFormat="1" applyFont="1" applyBorder="1"/>
    <xf numFmtId="0" fontId="2" fillId="2" borderId="1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9" fontId="0" fillId="0" borderId="11" xfId="0" applyNumberFormat="1" applyBorder="1" applyAlignment="1">
      <alignment vertical="center" wrapText="1"/>
    </xf>
    <xf numFmtId="10" fontId="0" fillId="0" borderId="11" xfId="0" applyNumberFormat="1" applyBorder="1" applyAlignment="1">
      <alignment vertical="center" wrapText="1"/>
    </xf>
    <xf numFmtId="172" fontId="0" fillId="0" borderId="11" xfId="0" applyNumberFormat="1" applyBorder="1" applyAlignment="1">
      <alignment vertical="center" wrapText="1"/>
    </xf>
    <xf numFmtId="172" fontId="0" fillId="0" borderId="12" xfId="0" applyNumberFormat="1" applyBorder="1"/>
    <xf numFmtId="9" fontId="0" fillId="0" borderId="4" xfId="0" applyNumberFormat="1" applyBorder="1" applyAlignment="1">
      <alignment vertical="center" wrapText="1"/>
    </xf>
    <xf numFmtId="10" fontId="0" fillId="0" borderId="4" xfId="0" applyNumberFormat="1" applyBorder="1" applyAlignment="1">
      <alignment vertical="center" wrapText="1"/>
    </xf>
    <xf numFmtId="172" fontId="0" fillId="0" borderId="4" xfId="0" applyNumberFormat="1" applyBorder="1" applyAlignment="1">
      <alignment vertical="center" wrapText="1"/>
    </xf>
    <xf numFmtId="172" fontId="0" fillId="0" borderId="5" xfId="0" applyNumberFormat="1" applyBorder="1"/>
    <xf numFmtId="2" fontId="0" fillId="0" borderId="11" xfId="0" applyNumberFormat="1" applyBorder="1" applyAlignment="1">
      <alignment vertical="center" wrapText="1"/>
    </xf>
    <xf numFmtId="2" fontId="2" fillId="2" borderId="4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</cellXfs>
  <cellStyles count="4">
    <cellStyle name="Currency" xfId="1" builtinId="4"/>
    <cellStyle name="Normal" xfId="0" builtinId="0"/>
    <cellStyle name="Normal 2" xfId="3" xr:uid="{8E82C616-E347-4581-A706-AC0DF7D8DC67}"/>
    <cellStyle name="Percent" xfId="2" builtinId="5"/>
  </cellStyles>
  <dxfs count="73"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gradientFill>
          <stop position="0">
            <color theme="7" tint="0.59999389629810485"/>
          </stop>
          <stop position="1">
            <color theme="9" tint="0.59999389629810485"/>
          </stop>
        </gradientFill>
      </fill>
    </dxf>
    <dxf>
      <fill>
        <gradientFill>
          <stop position="0">
            <color rgb="FFFF0000"/>
          </stop>
          <stop position="1">
            <color theme="7" tint="0.59999389629810485"/>
          </stop>
        </gradientFill>
      </fill>
    </dxf>
    <dxf>
      <fill>
        <gradientFill>
          <stop position="0">
            <color theme="7" tint="0.59999389629810485"/>
          </stop>
          <stop position="1">
            <color rgb="FFFF9393"/>
          </stop>
        </gradientFill>
      </fill>
    </dxf>
    <dxf>
      <fill>
        <gradientFill>
          <stop position="0">
            <color theme="7" tint="0.59999389629810485"/>
          </stop>
          <stop position="1">
            <color rgb="FFFF0000"/>
          </stop>
        </gradientFill>
      </fill>
    </dxf>
    <dxf>
      <fill>
        <gradientFill>
          <stop position="0">
            <color theme="9" tint="0.40000610370189521"/>
          </stop>
          <stop position="1">
            <color theme="7" tint="0.59999389629810485"/>
          </stop>
        </gradientFill>
      </fill>
    </dxf>
    <dxf>
      <fill>
        <gradientFill>
          <stop position="0">
            <color theme="9" tint="0.59999389629810485"/>
          </stop>
          <stop position="1">
            <color theme="7" tint="0.59999389629810485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numFmt numFmtId="2" formatCode="0.00"/>
      <alignment horizont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2" formatCode="0.00"/>
      <alignment horizont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2" formatCode="0.00"/>
      <alignment horizont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75" formatCode="_ &quot;₹&quot;\ * #,##0_ ;_ &quot;₹&quot;\ * \-#,##0_ ;_ &quot;₹&quot;\ * &quot;-&quot;??_ ;_ @_ "/>
      <alignment horizont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14" formatCode="0.00%"/>
      <alignment horizont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numFmt numFmtId="14" formatCode="0.00%"/>
      <alignment horizont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numFmt numFmtId="2" formatCode="0.00"/>
      <alignment horizont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numFmt numFmtId="2" formatCode="0.00"/>
      <alignment horizont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2" formatCode="0.00"/>
      <alignment horizont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19" formatCode="dd/mm/yyyy"/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14" formatCode="0.00%"/>
      <alignment horizontal="center" vertical="bottom" textRotation="0" wrapText="0" indent="0" justifyLastLine="0" shrinkToFit="0" readingOrder="0"/>
    </dxf>
    <dxf>
      <numFmt numFmtId="171" formatCode="_ [$₹-4009]\ * #,##0.00_ ;_ [$₹-4009]\ * \-#,##0.00_ ;_ [$₹-4009]\ * &quot;-&quot;??_ ;_ @_ 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_ [$₹-4009]\ * #,##0.00_ ;_ [$₹-4009]\ * \-#,##0.00_ ;_ [$₹-4009]\ * &quot;-&quot;??_ ;_ @_ "/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[$$-409]* #,##0.00_ ;_-[$$-409]* \-#,##0.00\ ;_-[$$-409]* &quot;-&quot;??_ ;_-@_ 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numFmt numFmtId="34" formatCode="_ &quot;₹&quot;\ * #,##0.00_ ;_ &quot;₹&quot;\ * \-#,##0.00_ ;_ &quot;₹&quot;\ * &quot;-&quot;??_ ;_ @_ 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numFmt numFmtId="34" formatCode="_ &quot;₹&quot;\ * #,##0.00_ ;_ &quot;₹&quot;\ * \-#,##0.00_ ;_ &quot;₹&quot;\ * &quot;-&quot;??_ ;_ @_ 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numFmt numFmtId="171" formatCode="_ [$₹-4009]\ * #,##0.00_ ;_ [$₹-4009]\ * \-#,##0.00_ ;_ [$₹-4009]\ * &quot;-&quot;??_ ;_ @_ 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</dxfs>
  <tableStyles count="0" defaultTableStyle="TableStyleMedium2" defaultPivotStyle="PivotStyleLight16"/>
  <colors>
    <mruColors>
      <color rgb="FFFF9393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ACTUAL VS EWS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Actual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Summary!$A$2:$A$10</c:f>
              <c:strCache>
                <c:ptCount val="9"/>
                <c:pt idx="0">
                  <c:v>Cumulative Return</c:v>
                </c:pt>
                <c:pt idx="1">
                  <c:v>Max Drawdown</c:v>
                </c:pt>
                <c:pt idx="2">
                  <c:v>Mean Monthly Return</c:v>
                </c:pt>
                <c:pt idx="3">
                  <c:v>Std Deviation</c:v>
                </c:pt>
                <c:pt idx="4">
                  <c:v>Sharpe Ratio</c:v>
                </c:pt>
                <c:pt idx="5">
                  <c:v>Monte Carlo Best Case</c:v>
                </c:pt>
                <c:pt idx="6">
                  <c:v>Monte Carlo Likely Case</c:v>
                </c:pt>
                <c:pt idx="7">
                  <c:v>Monte Carlo Worst Case</c:v>
                </c:pt>
                <c:pt idx="8">
                  <c:v>Monte Carlo Std Dev</c:v>
                </c:pt>
              </c:strCache>
            </c:strRef>
          </c:cat>
          <c:val>
            <c:numRef>
              <c:f>Summary!$B$2:$B$10</c:f>
              <c:numCache>
                <c:formatCode>General</c:formatCode>
                <c:ptCount val="9"/>
                <c:pt idx="0" formatCode="0%">
                  <c:v>1.29</c:v>
                </c:pt>
                <c:pt idx="1">
                  <c:v>-0.15322000000000002</c:v>
                </c:pt>
                <c:pt idx="2" formatCode="0.00%">
                  <c:v>7.4148319327731107E-3</c:v>
                </c:pt>
                <c:pt idx="3" formatCode="0.000">
                  <c:v>2.9524182733366371E-2</c:v>
                </c:pt>
                <c:pt idx="4" formatCode="0.00%">
                  <c:v>8.1355932203389839E-2</c:v>
                </c:pt>
                <c:pt idx="5" formatCode="0.00%">
                  <c:v>0.26493210535145684</c:v>
                </c:pt>
                <c:pt idx="6" formatCode="0.00%">
                  <c:v>6.4406477741070445E-2</c:v>
                </c:pt>
                <c:pt idx="7" formatCode="0.00%">
                  <c:v>-8.7507821051398538E-2</c:v>
                </c:pt>
                <c:pt idx="8" formatCode="0.000">
                  <c:v>0.11505277550265154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6D-4241-8ACE-2A22301D87A5}"/>
            </c:ext>
          </c:extLst>
        </c:ser>
        <c:ser>
          <c:idx val="1"/>
          <c:order val="1"/>
          <c:tx>
            <c:strRef>
              <c:f>Summary!$C$1</c:f>
              <c:strCache>
                <c:ptCount val="1"/>
                <c:pt idx="0">
                  <c:v>EWS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Summary!$A$2:$A$10</c:f>
              <c:strCache>
                <c:ptCount val="9"/>
                <c:pt idx="0">
                  <c:v>Cumulative Return</c:v>
                </c:pt>
                <c:pt idx="1">
                  <c:v>Max Drawdown</c:v>
                </c:pt>
                <c:pt idx="2">
                  <c:v>Mean Monthly Return</c:v>
                </c:pt>
                <c:pt idx="3">
                  <c:v>Std Deviation</c:v>
                </c:pt>
                <c:pt idx="4">
                  <c:v>Sharpe Ratio</c:v>
                </c:pt>
                <c:pt idx="5">
                  <c:v>Monte Carlo Best Case</c:v>
                </c:pt>
                <c:pt idx="6">
                  <c:v>Monte Carlo Likely Case</c:v>
                </c:pt>
                <c:pt idx="7">
                  <c:v>Monte Carlo Worst Case</c:v>
                </c:pt>
                <c:pt idx="8">
                  <c:v>Monte Carlo Std Dev</c:v>
                </c:pt>
              </c:strCache>
            </c:strRef>
          </c:cat>
          <c:val>
            <c:numRef>
              <c:f>Summary!$C$2:$C$10</c:f>
              <c:numCache>
                <c:formatCode>0.00</c:formatCode>
                <c:ptCount val="9"/>
                <c:pt idx="0" formatCode="0%">
                  <c:v>1.35</c:v>
                </c:pt>
                <c:pt idx="1">
                  <c:v>-0.12804699999999999</c:v>
                </c:pt>
                <c:pt idx="2" formatCode="0.00%">
                  <c:v>7.5502521008403356E-3</c:v>
                </c:pt>
                <c:pt idx="3" formatCode="0.000">
                  <c:v>2.6774394866705756E-2</c:v>
                </c:pt>
                <c:pt idx="4" formatCode="0.00%">
                  <c:v>9.5249663476488167E-2</c:v>
                </c:pt>
                <c:pt idx="5" formatCode="0.00%">
                  <c:v>0.27971328290194708</c:v>
                </c:pt>
                <c:pt idx="6" formatCode="0.00%">
                  <c:v>8.7317750172658304E-2</c:v>
                </c:pt>
                <c:pt idx="7" formatCode="0.00%">
                  <c:v>-3.787612793681161E-2</c:v>
                </c:pt>
                <c:pt idx="8" formatCode="0.000">
                  <c:v>0.10455626676195492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6D-4241-8ACE-2A22301D8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16648207"/>
        <c:axId val="1116647247"/>
      </c:barChart>
      <c:catAx>
        <c:axId val="1116648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647247"/>
        <c:crosses val="autoZero"/>
        <c:auto val="1"/>
        <c:lblAlgn val="ctr"/>
        <c:lblOffset val="100"/>
        <c:noMultiLvlLbl val="0"/>
      </c:catAx>
      <c:valAx>
        <c:axId val="1116647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64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0</xdr:row>
      <xdr:rowOff>0</xdr:rowOff>
    </xdr:from>
    <xdr:to>
      <xdr:col>14</xdr:col>
      <xdr:colOff>603250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024B22-5C35-EA88-A1DE-96DB3768B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361950</xdr:colOff>
      <xdr:row>11</xdr:row>
      <xdr:rowOff>12700</xdr:rowOff>
    </xdr:from>
    <xdr:ext cx="3536950" cy="11049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79BE23E-4E13-5499-F389-013D8AB04860}"/>
            </a:ext>
          </a:extLst>
        </xdr:cNvPr>
        <xdr:cNvSpPr txBox="1"/>
      </xdr:nvSpPr>
      <xdr:spPr>
        <a:xfrm>
          <a:off x="361950" y="2101850"/>
          <a:ext cx="3536950" cy="1104900"/>
        </a:xfrm>
        <a:prstGeom prst="rect">
          <a:avLst/>
        </a:prstGeom>
        <a:solidFill>
          <a:srgbClr val="00B0F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N" b="1">
              <a:solidFill>
                <a:schemeClr val="bg1"/>
              </a:solidFill>
            </a:rPr>
            <a:t>The EWS portfolio outperforms a static buy-and-hold strategy across every risk and return metric — delivering higher returns, lower volatility, better worst case protection and superior Sharpe ratio over</a:t>
          </a:r>
          <a:r>
            <a:rPr lang="en-IN" b="1" baseline="0">
              <a:solidFill>
                <a:schemeClr val="bg1"/>
              </a:solidFill>
            </a:rPr>
            <a:t> 10 years.</a:t>
          </a:r>
          <a:endParaRPr lang="en-IN" sz="1100">
            <a:solidFill>
              <a:schemeClr val="bg1"/>
            </a:solidFill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urag\Desktop\Abhi\Macroeconomic%20Risk%20Scenario%20Analysis\Macro_risk_analysis.xlsx" TargetMode="External"/><Relationship Id="rId1" Type="http://schemas.openxmlformats.org/officeDocument/2006/relationships/externalLinkPath" Target="/Users/Anurag/Desktop/Abhi/Macroeconomic%20Risk%20Scenario%20Analysis/Macro_risk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Data"/>
      <sheetName val="Regression Data"/>
      <sheetName val="Regression Result 1"/>
      <sheetName val="Regression Result 2"/>
      <sheetName val="Scenario Analysis"/>
      <sheetName val="Scenario Analysis PBI"/>
      <sheetName val="Stress Test Result"/>
      <sheetName val="Correlation Matrix"/>
      <sheetName val="Brent Crude Oil "/>
      <sheetName val="Discriptive Stats"/>
      <sheetName val="CPI"/>
      <sheetName val="WPI"/>
      <sheetName val="GDP"/>
      <sheetName val="Industrial Production"/>
      <sheetName val="Nifty 50"/>
      <sheetName val="Forex Reserve"/>
      <sheetName val="Unemployment rate"/>
      <sheetName val="Repo Rate"/>
      <sheetName val="10Y G-sec yield"/>
      <sheetName val="NPA Ratio"/>
      <sheetName val="Credit Growth"/>
      <sheetName val="USD-IN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4">
          <cell r="D14">
            <v>4.8653344917463155</v>
          </cell>
        </row>
        <row r="15">
          <cell r="D15">
            <v>5.0086355785837631</v>
          </cell>
        </row>
        <row r="16">
          <cell r="D16">
            <v>5.3984575835475548</v>
          </cell>
        </row>
        <row r="17">
          <cell r="D17">
            <v>3.6912751677852276</v>
          </cell>
        </row>
        <row r="18">
          <cell r="D18">
            <v>3.7406483790523692</v>
          </cell>
        </row>
        <row r="19">
          <cell r="D19">
            <v>4.4129891756869366</v>
          </cell>
        </row>
        <row r="20">
          <cell r="D20">
            <v>4.9958368026644466</v>
          </cell>
        </row>
        <row r="21">
          <cell r="D21">
            <v>5.4121565362198174</v>
          </cell>
        </row>
        <row r="22">
          <cell r="D22">
            <v>5.6113902847571087</v>
          </cell>
        </row>
        <row r="23">
          <cell r="D23">
            <v>5.690376569037654</v>
          </cell>
        </row>
        <row r="24">
          <cell r="D24">
            <v>5.2631578947368398</v>
          </cell>
        </row>
        <row r="25">
          <cell r="D25">
            <v>4.8252911813643902</v>
          </cell>
        </row>
        <row r="26">
          <cell r="D26">
            <v>5.4681027340513628</v>
          </cell>
        </row>
        <row r="27">
          <cell r="D27">
            <v>5.7565789473684212</v>
          </cell>
        </row>
        <row r="28">
          <cell r="D28">
            <v>5.7723577235772305</v>
          </cell>
        </row>
        <row r="29">
          <cell r="D29">
            <v>6.0679611650485441</v>
          </cell>
        </row>
        <row r="30">
          <cell r="D30">
            <v>5.0480769230769207</v>
          </cell>
        </row>
        <row r="31">
          <cell r="D31">
            <v>4.3859649122807012</v>
          </cell>
        </row>
        <row r="32">
          <cell r="D32">
            <v>4.2030134813640059</v>
          </cell>
        </row>
        <row r="33">
          <cell r="D33">
            <v>3.6334913112164253</v>
          </cell>
        </row>
        <row r="34">
          <cell r="D34">
            <v>3.4099920697858934</v>
          </cell>
        </row>
        <row r="35">
          <cell r="D35">
            <v>3.1670625494853639</v>
          </cell>
        </row>
        <row r="36">
          <cell r="D36">
            <v>3.6507936507936463</v>
          </cell>
        </row>
        <row r="37">
          <cell r="D37">
            <v>3.8888888888888933</v>
          </cell>
        </row>
        <row r="38">
          <cell r="D38">
            <v>2.9850746268656696</v>
          </cell>
        </row>
        <row r="39">
          <cell r="D39">
            <v>2.1772939346811913</v>
          </cell>
        </row>
        <row r="40">
          <cell r="D40">
            <v>1.4604150653343626</v>
          </cell>
        </row>
        <row r="41">
          <cell r="D41">
            <v>2.3646071700991569</v>
          </cell>
        </row>
        <row r="42">
          <cell r="D42">
            <v>3.2799389778794903</v>
          </cell>
        </row>
        <row r="43">
          <cell r="D43">
            <v>3.2849503437738599</v>
          </cell>
        </row>
        <row r="44">
          <cell r="D44">
            <v>3.5768645357686371</v>
          </cell>
        </row>
        <row r="45">
          <cell r="D45">
            <v>4.8780487804878101</v>
          </cell>
        </row>
        <row r="46">
          <cell r="D46">
            <v>5.2147239263803549</v>
          </cell>
        </row>
        <row r="47">
          <cell r="D47">
            <v>5.0652340752110465</v>
          </cell>
        </row>
        <row r="48">
          <cell r="D48">
            <v>4.4410413476263493</v>
          </cell>
        </row>
        <row r="49">
          <cell r="D49">
            <v>4.2780748663101562</v>
          </cell>
        </row>
        <row r="50">
          <cell r="D50">
            <v>4.5766590389016022</v>
          </cell>
        </row>
        <row r="51">
          <cell r="D51">
            <v>4.8706240487062447</v>
          </cell>
        </row>
        <row r="52">
          <cell r="D52">
            <v>4.9242424242424239</v>
          </cell>
        </row>
        <row r="53">
          <cell r="D53">
            <v>4.1728763040238617</v>
          </cell>
        </row>
        <row r="54">
          <cell r="D54">
            <v>3.6927621861152145</v>
          </cell>
        </row>
        <row r="55">
          <cell r="D55">
            <v>3.6982248520710059</v>
          </cell>
        </row>
        <row r="56">
          <cell r="D56">
            <v>3.3798677443056535</v>
          </cell>
        </row>
        <row r="57">
          <cell r="D57">
            <v>2.3255813953488498</v>
          </cell>
        </row>
        <row r="58">
          <cell r="D58">
            <v>2.1137026239067098</v>
          </cell>
        </row>
        <row r="59">
          <cell r="D59">
            <v>1.972242512783045</v>
          </cell>
        </row>
        <row r="60">
          <cell r="D60">
            <v>2.5659824046920821</v>
          </cell>
        </row>
        <row r="61">
          <cell r="D61">
            <v>2.8571428571428612</v>
          </cell>
        </row>
        <row r="62">
          <cell r="D62">
            <v>2.9905178701677566</v>
          </cell>
        </row>
        <row r="63">
          <cell r="D63">
            <v>3.0478955007256809</v>
          </cell>
        </row>
        <row r="64">
          <cell r="D64">
            <v>3.1768953068592101</v>
          </cell>
        </row>
        <row r="65">
          <cell r="D65">
            <v>3.14735336194562</v>
          </cell>
        </row>
        <row r="66">
          <cell r="D66">
            <v>3.2763532763532721</v>
          </cell>
        </row>
        <row r="67">
          <cell r="D67">
            <v>3.9942938659058651</v>
          </cell>
        </row>
        <row r="68">
          <cell r="D68">
            <v>4.6197583511016349</v>
          </cell>
        </row>
        <row r="69">
          <cell r="D69">
            <v>5.5397727272727151</v>
          </cell>
        </row>
        <row r="70">
          <cell r="D70">
            <v>7.3518915060671031</v>
          </cell>
        </row>
        <row r="71">
          <cell r="D71">
            <v>7.5931232091690504</v>
          </cell>
        </row>
        <row r="72">
          <cell r="D72">
            <v>6.5761258041458106</v>
          </cell>
        </row>
        <row r="73">
          <cell r="D73">
            <v>5.8404558404558315</v>
          </cell>
        </row>
        <row r="74">
          <cell r="D74">
            <v>7.223796033994347</v>
          </cell>
        </row>
        <row r="75">
          <cell r="D75">
            <v>6.2676056338028214</v>
          </cell>
        </row>
        <row r="76">
          <cell r="D76">
            <v>6.2281315605318444</v>
          </cell>
        </row>
        <row r="77">
          <cell r="D77">
            <v>6.7267683772538263</v>
          </cell>
        </row>
        <row r="78">
          <cell r="D78">
            <v>6.6896551724137856</v>
          </cell>
        </row>
        <row r="79">
          <cell r="D79">
            <v>7.2702331961591176</v>
          </cell>
        </row>
        <row r="80">
          <cell r="D80">
            <v>7.6086956521739246</v>
          </cell>
        </row>
        <row r="81">
          <cell r="D81">
            <v>6.9313593539703984</v>
          </cell>
        </row>
        <row r="82">
          <cell r="D82">
            <v>4.5877659574468117</v>
          </cell>
        </row>
        <row r="83">
          <cell r="D83">
            <v>4.0612516644474193</v>
          </cell>
        </row>
        <row r="84">
          <cell r="D84">
            <v>5.0301810865191152</v>
          </cell>
        </row>
        <row r="85">
          <cell r="D85">
            <v>5.5181695827725559</v>
          </cell>
        </row>
        <row r="86">
          <cell r="D86">
            <v>4.2272126816380489</v>
          </cell>
        </row>
        <row r="87">
          <cell r="D87">
            <v>6.2955599734923791</v>
          </cell>
        </row>
        <row r="88">
          <cell r="D88">
            <v>6.2582345191040831</v>
          </cell>
        </row>
        <row r="89">
          <cell r="D89">
            <v>5.5880441845354092</v>
          </cell>
        </row>
        <row r="90">
          <cell r="D90">
            <v>5.3005817711700178</v>
          </cell>
        </row>
        <row r="91">
          <cell r="D91">
            <v>4.3478260869565108</v>
          </cell>
        </row>
        <row r="92">
          <cell r="D92">
            <v>4.4823232323232283</v>
          </cell>
        </row>
        <row r="93">
          <cell r="D93">
            <v>4.9087476400251617</v>
          </cell>
        </row>
        <row r="94">
          <cell r="D94">
            <v>5.6579783852510976</v>
          </cell>
        </row>
        <row r="95">
          <cell r="D95">
            <v>6.0140754958413156</v>
          </cell>
        </row>
        <row r="96">
          <cell r="D96">
            <v>6.0664112388250322</v>
          </cell>
        </row>
        <row r="97">
          <cell r="D97">
            <v>6.9515306122448823</v>
          </cell>
        </row>
        <row r="98">
          <cell r="D98">
            <v>7.7946768060836389</v>
          </cell>
        </row>
        <row r="99">
          <cell r="D99">
            <v>7.044887780548617</v>
          </cell>
        </row>
        <row r="100">
          <cell r="D100">
            <v>7.0055796652200755</v>
          </cell>
        </row>
        <row r="101">
          <cell r="D101">
            <v>6.7076923076923114</v>
          </cell>
        </row>
        <row r="102">
          <cell r="D102">
            <v>6.9981583793738515</v>
          </cell>
        </row>
        <row r="103">
          <cell r="D103">
            <v>7.4142156862745239</v>
          </cell>
        </row>
        <row r="104">
          <cell r="D104">
            <v>6.7673716012084526</v>
          </cell>
        </row>
        <row r="105">
          <cell r="D105">
            <v>5.8788242351529769</v>
          </cell>
        </row>
        <row r="106">
          <cell r="D106">
            <v>5.7160048134777384</v>
          </cell>
        </row>
        <row r="107">
          <cell r="D107">
            <v>6.5178032589016377</v>
          </cell>
        </row>
        <row r="108">
          <cell r="D108">
            <v>6.441902468392545</v>
          </cell>
        </row>
        <row r="109">
          <cell r="D109">
            <v>5.6648777579010146</v>
          </cell>
        </row>
        <row r="110">
          <cell r="D110">
            <v>4.7031158142269254</v>
          </cell>
        </row>
        <row r="111">
          <cell r="D111">
            <v>4.3098427489807838</v>
          </cell>
        </row>
        <row r="112">
          <cell r="D112">
            <v>4.8667439165701074</v>
          </cell>
        </row>
        <row r="113">
          <cell r="D113">
            <v>7.4394463667820094</v>
          </cell>
        </row>
        <row r="114">
          <cell r="D114">
            <v>6.8273092369477775</v>
          </cell>
        </row>
        <row r="115">
          <cell r="D115">
            <v>5.0199657729606288</v>
          </cell>
        </row>
        <row r="116">
          <cell r="D116">
            <v>4.8670062252405337</v>
          </cell>
        </row>
        <row r="117">
          <cell r="D117">
            <v>5.552407932011338</v>
          </cell>
        </row>
        <row r="118">
          <cell r="D118">
            <v>5.6915196357427433</v>
          </cell>
        </row>
        <row r="119">
          <cell r="D119">
            <v>5.0991501416430589</v>
          </cell>
        </row>
        <row r="120">
          <cell r="D120">
            <v>5.0904977375565608</v>
          </cell>
        </row>
        <row r="121">
          <cell r="D121">
            <v>4.8532731376975304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E05B91-7388-4531-B858-23FFE0D3F7F4}" name="Table1" displayName="Table1" ref="A1:K121" totalsRowShown="0" headerRowDxfId="27" dataDxfId="26" headerRowBorderDxfId="71" tableBorderDxfId="72">
  <autoFilter ref="A1:K121" xr:uid="{21E05B91-7388-4531-B858-23FFE0D3F7F4}"/>
  <tableColumns count="11">
    <tableColumn id="1" xr3:uid="{C4F889EE-2785-48A9-B801-CD1A6234C2B3}" name="DATES" dataDxfId="35"/>
    <tableColumn id="2" xr3:uid="{04F2F58A-64E1-493F-B63D-B9B6FC4BF8F7}" name="GDP" dataDxfId="34"/>
    <tableColumn id="3" xr3:uid="{0A6118C1-6FC2-4E18-91BD-CC77489D33C5}" name="CPI" dataDxfId="33">
      <calculatedColumnFormula>[1]CPI!D2</calculatedColumnFormula>
    </tableColumn>
    <tableColumn id="4" xr3:uid="{EF1B9E3F-6F28-48F1-AB8F-291F6D15038E}" name="REPO RATE" dataDxfId="25"/>
    <tableColumn id="5" xr3:uid="{604E94F4-8935-4263-96F8-94332BFC1A62}" name="INDIA VIX" dataDxfId="23"/>
    <tableColumn id="6" xr3:uid="{4AF1DE48-3292-49C7-9F09-9DC3B5B04F7F}" name="VIX  CHANGE" dataDxfId="24"/>
    <tableColumn id="7" xr3:uid="{38810D43-8B33-455D-8768-5FB71086E871}" name="GOLD/NIFTY" dataDxfId="32">
      <calculatedColumnFormula>Assets!I2/Assets!B2</calculatedColumnFormula>
    </tableColumn>
    <tableColumn id="8" xr3:uid="{23C07B2A-E623-49E9-9352-070A5B839283}" name="NIFTY PE RATIO" dataDxfId="31"/>
    <tableColumn id="9" xr3:uid="{65700699-3395-499D-AC06-CCA65539B09A}" name="USD/INR % CHANGE" dataDxfId="30"/>
    <tableColumn id="10" xr3:uid="{8C741A41-16A0-45C4-A094-6DAF3E54FA02}" name="OIL % CHANGE" dataDxfId="29"/>
    <tableColumn id="11" xr3:uid="{53367027-17F7-4F50-B7DD-2F4790B3704C}" name="Net FII (cr)" dataDxfId="2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FC7912-51C2-4A5D-9736-26FC6FEC3AD8}" name="Table2" displayName="Table2" ref="A1:N121" totalsRowShown="0" headerRowDxfId="37" dataDxfId="36" tableBorderDxfId="70">
  <autoFilter ref="A1:N121" xr:uid="{25FC7912-51C2-4A5D-9736-26FC6FEC3AD8}"/>
  <tableColumns count="14">
    <tableColumn id="1" xr3:uid="{52506FBB-CFC8-412F-8DC7-1C8C356514CE}" name="DATE" dataDxfId="49"/>
    <tableColumn id="2" xr3:uid="{27BF3E77-0AE9-4A7D-A59D-6428FD27AFEE}" name="NIFTY 50" dataDxfId="48"/>
    <tableColumn id="3" xr3:uid="{7C08BBAE-1B6A-4FB8-859E-C5F31811AB9D}" name="% CHANGE" dataDxfId="47"/>
    <tableColumn id="4" xr3:uid="{AFEB7B0D-9246-47A9-A0A0-DF4DE345ECB6}" name="NIFTY BANK" dataDxfId="46"/>
    <tableColumn id="5" xr3:uid="{0ECFD5EE-D9E4-433E-A5B2-E05057B2766E}" name="% CHANGE2" dataDxfId="45"/>
    <tableColumn id="6" xr3:uid="{FD79366F-A8E9-4559-95E3-39E5259708E9}" name="NIFTY IT" dataDxfId="44"/>
    <tableColumn id="7" xr3:uid="{78412F86-3B69-4ACB-B697-17EDF63775B6}" name="% CHANGE3" dataDxfId="43"/>
    <tableColumn id="8" xr3:uid="{9E4A0E4C-44C3-4235-BBFF-B2607558CC0E}" name="GOLD usd" dataDxfId="42" dataCellStyle="Currency"/>
    <tableColumn id="9" xr3:uid="{8CE3F5E3-1731-4B52-9310-0AD9C1BF81AB}" name="GOLD/10gram inr" dataDxfId="41" dataCellStyle="Currency">
      <calculatedColumnFormula>(H2/31.1035)*10*M2</calculatedColumnFormula>
    </tableColumn>
    <tableColumn id="10" xr3:uid="{A604A0B9-7988-48FB-88E2-09B5B56FC30E}" name="% CHANGE4" dataDxfId="40"/>
    <tableColumn id="11" xr3:uid="{608BE3FD-D819-4808-A5B4-396C6575408A}" name="10Y G-SEC" dataDxfId="0"/>
    <tableColumn id="12" xr3:uid="{CA7DA707-28FE-43F5-B5D1-1927DC700218}" name="% CHANGE5" dataDxfId="1"/>
    <tableColumn id="13" xr3:uid="{FAC52384-3436-4DC6-8FC8-D5862389E677}" name="USD/INR" dataDxfId="39"/>
    <tableColumn id="14" xr3:uid="{1C8641E9-8253-4FD6-BAFE-C405CE8AA9C9}" name="% CHANGE6" dataDxfId="3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8AB6D8-EADB-491C-A7C8-9C287851BE0F}" name="Table3" displayName="Table3" ref="A1:C10" totalsRowShown="0" headerRowDxfId="63" dataDxfId="62" headerRowBorderDxfId="68" tableBorderDxfId="69">
  <autoFilter ref="A1:C10" xr:uid="{358AB6D8-EADB-491C-A7C8-9C287851BE0F}"/>
  <tableColumns count="3">
    <tableColumn id="1" xr3:uid="{890802F5-0CB2-4963-A8CD-66C2475046A3}" name="INDICATORS" dataDxfId="66"/>
    <tableColumn id="2" xr3:uid="{63508CA3-8B7D-4934-87DC-6E466421196E}" name="DIRECTION" dataDxfId="65"/>
    <tableColumn id="3" xr3:uid="{881F05A7-3C90-4797-8FE2-B65342F76B56}" name="FORMULA" dataDxfId="64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BA48DE-8C41-479E-B319-F05197FAE36C}" name="Table4" displayName="Table4" ref="E1:N120" totalsRowShown="0" headerRowDxfId="51" dataDxfId="50" tableBorderDxfId="67">
  <autoFilter ref="E1:N120" xr:uid="{43BA48DE-8C41-479E-B319-F05197FAE36C}"/>
  <tableColumns count="10">
    <tableColumn id="1" xr3:uid="{234EDAD4-0A61-4D40-9E76-9C21958BFF82}" name="DATES" dataDxfId="61"/>
    <tableColumn id="2" xr3:uid="{C3175164-75B4-439E-8494-E52A3C163857}" name="GDP" dataDxfId="60">
      <calculatedColumnFormula>MAX(0,MIN(10,(PERCENTILE(Indicators!$K$2:$K$121,0.95)-Table1[[#This Row],[Net FII (cr)]])/(PERCENTILE(Indicators!$K$2:$K$121,0.95)-PERCENTILE(Indicators!$K$2:$K$121,0.05))*10))</calculatedColumnFormula>
    </tableColumn>
    <tableColumn id="3" xr3:uid="{34870A14-DBA3-4045-8F93-312D22C531A2}" name="CPI" dataDxfId="59">
      <calculatedColumnFormula>MAX(0,MIN(10,(Indicators!C2-PERCENTILE(Indicators!$C:$C,0.05))/(PERCENTILE(Indicators!$C:$C,0.95)-PERCENTILE(Indicators!$C:$C,0.05))*10))</calculatedColumnFormula>
    </tableColumn>
    <tableColumn id="4" xr3:uid="{F9129C05-193E-4D8C-B7DC-883DFC4D38EB}" name="REPO RATE" dataDxfId="58">
      <calculatedColumnFormula>MAX(0,MIN(10,(Indicators!D2-PERCENTILE(Indicators!$D:$D,0.05))/(PERCENTILE(Indicators!$D:$D,0.95)-PERCENTILE(Indicators!$D:$D,0.05))*10))</calculatedColumnFormula>
    </tableColumn>
    <tableColumn id="5" xr3:uid="{F23D2AB6-AA13-4E5A-8D17-E4FB40D8F291}" name="INDIA VIX" dataDxfId="57">
      <calculatedColumnFormula>MAX(0,MIN(10,(Table1[[#This Row],[INDIA VIX]]-PERCENTILE(Indicators!$E$2:$E$121,0.05))/(PERCENTILE(Indicators!$E$2:$E$121,0.95)-PERCENTILE(Indicators!$E$2:$E$121,0.05))*10))</calculatedColumnFormula>
    </tableColumn>
    <tableColumn id="6" xr3:uid="{EB96EA8D-5B1F-4112-9BF2-8A9BE32102EE}" name="GOLD/NIFTY" dataDxfId="56">
      <calculatedColumnFormula>MAX(0,MIN(10,(Indicators!G2-PERCENTILE(Indicators!$G:$G,0.05))/(PERCENTILE(Indicators!$G:$G,0.95)-PERCENTILE(Indicators!$G:$G,0.05))*10))</calculatedColumnFormula>
    </tableColumn>
    <tableColumn id="7" xr3:uid="{84DB97D6-8F60-4C94-B778-80FBDA7AC8BA}" name="NIFTY PE RATIO" dataDxfId="55">
      <calculatedColumnFormula>MAX(0,MIN(10,(Indicators!H2-PERCENTILE(Indicators!$H:$H,0.05))/(PERCENTILE(Indicators!$H:$H,0.95)-PERCENTILE(Indicators!$H:$H,0.05))*10))</calculatedColumnFormula>
    </tableColumn>
    <tableColumn id="8" xr3:uid="{0472E740-B846-4B55-BF21-4DA76E0DFDCF}" name="USD/INR % CHANGE" dataDxfId="54">
      <calculatedColumnFormula>MAX(0,MIN(10,(Indicators!I2-PERCENTILE(Indicators!$I:$I,0.05))/(PERCENTILE(Indicators!$I:$I,0.95)-PERCENTILE(Indicators!$I:$I,0.05))*10))</calculatedColumnFormula>
    </tableColumn>
    <tableColumn id="9" xr3:uid="{832F6832-CCB0-4D85-98FC-BF02812D332A}" name="OIL % CHANGE" dataDxfId="53">
      <calculatedColumnFormula>MAX(0,MIN(10,(Indicators!J2-PERCENTILE(Indicators!$J:$J,0.05))/(PERCENTILE(Indicators!$J:$J,0.95)-PERCENTILE(Indicators!$J:$J,0.05))*10))</calculatedColumnFormula>
    </tableColumn>
    <tableColumn id="10" xr3:uid="{4EE50697-E577-45D1-B4A8-B8171B79FA9D}" name="Net FII (cr)" dataDxfId="52">
      <calculatedColumnFormula>MAX(0,MIN(10,(PERCENTILE(Indicators!$K$2:$K$121,0.95)-Table1[[#This Row],[Net FII (cr)]])/(PERCENTILE(Indicators!$K$2:$K$121,0.95)-PERCENTILE(Indicators!$K$2:$K$121,0.05))*10))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91ED6-727C-4E2E-80C0-9E1475DF1CEF}">
  <dimension ref="A1:N121"/>
  <sheetViews>
    <sheetView workbookViewId="0">
      <selection activeCell="M13" sqref="M13"/>
    </sheetView>
  </sheetViews>
  <sheetFormatPr defaultRowHeight="14.5" x14ac:dyDescent="0.35"/>
  <cols>
    <col min="1" max="1" width="10.08984375" style="57" bestFit="1" customWidth="1"/>
    <col min="2" max="2" width="10.08984375" style="25" customWidth="1"/>
    <col min="3" max="3" width="9.7265625" style="68" customWidth="1"/>
    <col min="4" max="5" width="11.90625" style="68" customWidth="1"/>
    <col min="6" max="6" width="13.90625" style="68" customWidth="1"/>
    <col min="7" max="7" width="13.90625" style="69" customWidth="1"/>
    <col min="8" max="8" width="15.453125" style="70" customWidth="1"/>
    <col min="9" max="9" width="19.6328125" style="25" customWidth="1"/>
    <col min="10" max="10" width="15" style="22" customWidth="1"/>
    <col min="11" max="11" width="12.1796875" style="78" customWidth="1"/>
    <col min="12" max="16384" width="8.7265625" style="22"/>
  </cols>
  <sheetData>
    <row r="1" spans="1:14" ht="15" thickBot="1" x14ac:dyDescent="0.4">
      <c r="A1" s="62" t="s">
        <v>2</v>
      </c>
      <c r="B1" s="63" t="s">
        <v>1</v>
      </c>
      <c r="C1" s="33" t="s">
        <v>12</v>
      </c>
      <c r="D1" s="33" t="s">
        <v>13</v>
      </c>
      <c r="E1" s="33" t="s">
        <v>14</v>
      </c>
      <c r="F1" s="33" t="s">
        <v>18</v>
      </c>
      <c r="G1" s="32" t="s">
        <v>15</v>
      </c>
      <c r="H1" s="64" t="s">
        <v>3</v>
      </c>
      <c r="I1" s="63" t="s">
        <v>19</v>
      </c>
      <c r="J1" s="65" t="s">
        <v>20</v>
      </c>
      <c r="K1" s="66" t="s">
        <v>4</v>
      </c>
    </row>
    <row r="2" spans="1:14" x14ac:dyDescent="0.35">
      <c r="A2" s="67">
        <v>41730</v>
      </c>
      <c r="B2" s="68">
        <v>5.7</v>
      </c>
      <c r="C2" s="26">
        <v>8.458646616541353</v>
      </c>
      <c r="D2" s="68">
        <v>8</v>
      </c>
      <c r="E2" s="68">
        <v>30.592500000000001</v>
      </c>
      <c r="F2" s="68">
        <v>41.48</v>
      </c>
      <c r="G2" s="69">
        <f>Assets!I2/Assets!B2</f>
        <v>3.7429770987403224</v>
      </c>
      <c r="H2" s="70">
        <v>18.8</v>
      </c>
      <c r="I2" s="52">
        <v>5.5999999999999999E-3</v>
      </c>
      <c r="J2" s="52">
        <v>2.8999999999999998E-3</v>
      </c>
      <c r="K2" s="71">
        <v>418</v>
      </c>
    </row>
    <row r="3" spans="1:14" x14ac:dyDescent="0.35">
      <c r="A3" s="67">
        <v>41760</v>
      </c>
      <c r="B3" s="68">
        <v>5.7</v>
      </c>
      <c r="C3" s="26">
        <v>8.2089552238805936</v>
      </c>
      <c r="D3" s="68">
        <v>8</v>
      </c>
      <c r="E3" s="68">
        <v>16.335000000000001</v>
      </c>
      <c r="F3" s="68">
        <v>-46.6</v>
      </c>
      <c r="G3" s="69">
        <f>Assets!I3/Assets!B3</f>
        <v>3.3001063941804509</v>
      </c>
      <c r="H3" s="70">
        <v>19.8</v>
      </c>
      <c r="I3" s="48">
        <v>-1.9199999999999998E-2</v>
      </c>
      <c r="J3" s="48">
        <v>5.5999999999999999E-3</v>
      </c>
      <c r="K3" s="71">
        <v>33778</v>
      </c>
      <c r="L3" s="72"/>
      <c r="M3" s="72"/>
      <c r="N3" s="72"/>
    </row>
    <row r="4" spans="1:14" x14ac:dyDescent="0.35">
      <c r="A4" s="67">
        <v>41791</v>
      </c>
      <c r="B4" s="68">
        <v>5.7</v>
      </c>
      <c r="C4" s="26">
        <v>7.4380165289256146</v>
      </c>
      <c r="D4" s="68">
        <v>8</v>
      </c>
      <c r="E4" s="68">
        <v>17.872499999999999</v>
      </c>
      <c r="F4" s="68">
        <v>9.41</v>
      </c>
      <c r="G4" s="69">
        <f>Assets!I4/Assets!B4</f>
        <v>3.3302023305807196</v>
      </c>
      <c r="H4" s="70">
        <v>20.7</v>
      </c>
      <c r="I4" s="48">
        <v>1.46E-2</v>
      </c>
      <c r="J4" s="48">
        <v>3.1199999999999999E-2</v>
      </c>
      <c r="K4" s="71">
        <v>30705</v>
      </c>
    </row>
    <row r="5" spans="1:14" x14ac:dyDescent="0.35">
      <c r="A5" s="67">
        <v>41821</v>
      </c>
      <c r="B5" s="68">
        <v>5.3</v>
      </c>
      <c r="C5" s="26">
        <v>7.9494128274616047</v>
      </c>
      <c r="D5" s="68">
        <v>8</v>
      </c>
      <c r="E5" s="68">
        <v>13.8225</v>
      </c>
      <c r="F5" s="68">
        <v>-22.66</v>
      </c>
      <c r="G5" s="69">
        <f>Assets!I5/Assets!B5</f>
        <v>3.2650078318559368</v>
      </c>
      <c r="H5" s="70">
        <v>20.6</v>
      </c>
      <c r="I5" s="48">
        <v>8.3999999999999995E-3</v>
      </c>
      <c r="J5" s="48">
        <v>-4.9399999999999999E-2</v>
      </c>
      <c r="K5" s="71">
        <v>36045</v>
      </c>
    </row>
    <row r="6" spans="1:14" x14ac:dyDescent="0.35">
      <c r="A6" s="67">
        <v>41852</v>
      </c>
      <c r="B6" s="68">
        <v>5.3</v>
      </c>
      <c r="C6" s="26">
        <v>7.6717216770740491</v>
      </c>
      <c r="D6" s="68">
        <v>8</v>
      </c>
      <c r="E6" s="68">
        <v>13.067500000000001</v>
      </c>
      <c r="F6" s="68">
        <v>-5.46</v>
      </c>
      <c r="G6" s="69">
        <f>Assets!I6/Assets!B6</f>
        <v>3.1443714178445692</v>
      </c>
      <c r="H6" s="70">
        <v>20.8</v>
      </c>
      <c r="I6" s="48">
        <v>-6.9999999999999999E-4</v>
      </c>
      <c r="J6" s="48">
        <v>-2.5899999999999999E-2</v>
      </c>
      <c r="K6" s="71">
        <v>22135</v>
      </c>
    </row>
    <row r="7" spans="1:14" x14ac:dyDescent="0.35">
      <c r="A7" s="67">
        <v>41883</v>
      </c>
      <c r="B7" s="68">
        <v>5.3</v>
      </c>
      <c r="C7" s="26">
        <v>5.8669001751313505</v>
      </c>
      <c r="D7" s="68">
        <v>8</v>
      </c>
      <c r="E7" s="68">
        <v>13.145</v>
      </c>
      <c r="F7" s="68">
        <v>0.59</v>
      </c>
      <c r="G7" s="69">
        <f>Assets!I7/Assets!B7</f>
        <v>3.0245951316275317</v>
      </c>
      <c r="H7" s="70">
        <v>20.8</v>
      </c>
      <c r="I7" s="48">
        <v>2.35E-2</v>
      </c>
      <c r="J7" s="48">
        <v>-8.14E-2</v>
      </c>
      <c r="K7" s="71">
        <v>20973</v>
      </c>
    </row>
    <row r="8" spans="1:14" x14ac:dyDescent="0.35">
      <c r="A8" s="67">
        <v>41913</v>
      </c>
      <c r="B8" s="68">
        <v>7.5</v>
      </c>
      <c r="C8" s="26">
        <v>4.7619047619047619</v>
      </c>
      <c r="D8" s="68">
        <v>8</v>
      </c>
      <c r="E8" s="68">
        <v>13.295</v>
      </c>
      <c r="F8" s="68">
        <v>1.1399999999999999</v>
      </c>
      <c r="G8" s="69">
        <f>Assets!I8/Assets!B8</f>
        <v>2.7825359611397147</v>
      </c>
      <c r="H8" s="70">
        <v>21.6</v>
      </c>
      <c r="I8" s="48">
        <v>-8.6E-3</v>
      </c>
      <c r="J8" s="48">
        <v>-9.4200000000000006E-2</v>
      </c>
      <c r="K8" s="71">
        <v>16729</v>
      </c>
    </row>
    <row r="9" spans="1:14" x14ac:dyDescent="0.35">
      <c r="A9" s="67">
        <v>41944</v>
      </c>
      <c r="B9" s="68">
        <v>7.5</v>
      </c>
      <c r="C9" s="26">
        <v>3.1516183986371278</v>
      </c>
      <c r="D9" s="68">
        <v>8</v>
      </c>
      <c r="E9" s="68">
        <v>12.897500000000001</v>
      </c>
      <c r="F9" s="68">
        <v>-2.99</v>
      </c>
      <c r="G9" s="69">
        <f>Assets!I9/Assets!B9</f>
        <v>2.7578878230479331</v>
      </c>
      <c r="H9" s="70">
        <v>21.9</v>
      </c>
      <c r="I9" s="48">
        <v>1.3100000000000001E-2</v>
      </c>
      <c r="J9" s="48">
        <v>-0.1825</v>
      </c>
      <c r="K9" s="71">
        <v>25479</v>
      </c>
    </row>
    <row r="10" spans="1:14" x14ac:dyDescent="0.35">
      <c r="A10" s="67">
        <v>41974</v>
      </c>
      <c r="B10" s="68">
        <v>7.5</v>
      </c>
      <c r="C10" s="26">
        <v>4.1558441558441528</v>
      </c>
      <c r="D10" s="68">
        <v>8</v>
      </c>
      <c r="E10" s="68">
        <v>15.12</v>
      </c>
      <c r="F10" s="68">
        <v>17.23</v>
      </c>
      <c r="G10" s="69">
        <f>Assets!I10/Assets!B10</f>
        <v>2.9341062800703726</v>
      </c>
      <c r="H10" s="70">
        <v>21.2</v>
      </c>
      <c r="I10" s="48">
        <v>1.34E-2</v>
      </c>
      <c r="J10" s="48">
        <v>-0.17530000000000001</v>
      </c>
      <c r="K10" s="71">
        <v>12225</v>
      </c>
    </row>
    <row r="11" spans="1:14" x14ac:dyDescent="0.35">
      <c r="A11" s="67">
        <v>42005</v>
      </c>
      <c r="B11" s="68">
        <v>7.5</v>
      </c>
      <c r="C11" s="26">
        <v>5.3415061295971924</v>
      </c>
      <c r="D11" s="68">
        <v>8</v>
      </c>
      <c r="E11" s="68">
        <v>20.172499999999999</v>
      </c>
      <c r="F11" s="68">
        <v>33.42</v>
      </c>
      <c r="G11" s="69">
        <f>Assets!I11/Assets!B11</f>
        <v>2.8596049219722199</v>
      </c>
      <c r="H11" s="70">
        <v>22.5</v>
      </c>
      <c r="I11" s="48">
        <v>-1.6199999999999999E-2</v>
      </c>
      <c r="J11" s="48">
        <v>-7.3200000000000001E-2</v>
      </c>
      <c r="K11" s="71">
        <v>33687</v>
      </c>
    </row>
    <row r="12" spans="1:14" x14ac:dyDescent="0.35">
      <c r="A12" s="67">
        <v>42036</v>
      </c>
      <c r="B12" s="68">
        <v>7.5</v>
      </c>
      <c r="C12" s="26">
        <v>5.7894736842105212</v>
      </c>
      <c r="D12" s="68">
        <v>7.75</v>
      </c>
      <c r="E12" s="68">
        <v>16.97</v>
      </c>
      <c r="F12" s="68">
        <v>-15.88</v>
      </c>
      <c r="G12" s="69">
        <f>Assets!I12/Assets!B12</f>
        <v>2.6830177723050794</v>
      </c>
      <c r="H12" s="70">
        <v>23.8</v>
      </c>
      <c r="I12" s="48">
        <v>-5.7999999999999996E-3</v>
      </c>
      <c r="J12" s="48">
        <v>0.17050000000000001</v>
      </c>
      <c r="K12" s="71">
        <v>24564</v>
      </c>
    </row>
    <row r="13" spans="1:14" x14ac:dyDescent="0.35">
      <c r="A13" s="67">
        <v>42064</v>
      </c>
      <c r="B13" s="68">
        <v>7.5</v>
      </c>
      <c r="C13" s="26">
        <v>5.6719022687609071</v>
      </c>
      <c r="D13" s="68">
        <v>7.75</v>
      </c>
      <c r="E13" s="68">
        <v>14.4925</v>
      </c>
      <c r="F13" s="68">
        <v>-14.6</v>
      </c>
      <c r="G13" s="69">
        <f>Assets!I13/Assets!B13</f>
        <v>2.7809511444249626</v>
      </c>
      <c r="H13" s="70">
        <v>22.7</v>
      </c>
      <c r="I13" s="48">
        <v>1.03E-2</v>
      </c>
      <c r="J13" s="48">
        <v>-0.1099</v>
      </c>
      <c r="K13" s="71">
        <v>20725</v>
      </c>
    </row>
    <row r="14" spans="1:14" x14ac:dyDescent="0.35">
      <c r="A14" s="67">
        <v>42095</v>
      </c>
      <c r="B14" s="68">
        <v>7</v>
      </c>
      <c r="C14" s="68">
        <f>[1]CPI!D14</f>
        <v>4.8653344917463155</v>
      </c>
      <c r="D14" s="68">
        <v>7.5</v>
      </c>
      <c r="E14" s="68">
        <v>17.225000000000001</v>
      </c>
      <c r="F14" s="68">
        <v>18.850000000000001</v>
      </c>
      <c r="G14" s="69">
        <f>Assets!I14/Assets!B14</f>
        <v>3.0060969238813251</v>
      </c>
      <c r="H14" s="70">
        <v>22.1</v>
      </c>
      <c r="I14" s="48">
        <v>1.9900000000000001E-2</v>
      </c>
      <c r="J14" s="48">
        <v>0.2</v>
      </c>
      <c r="K14" s="71">
        <v>15331</v>
      </c>
    </row>
    <row r="15" spans="1:14" x14ac:dyDescent="0.35">
      <c r="A15" s="67">
        <v>42125</v>
      </c>
      <c r="B15" s="68">
        <v>7</v>
      </c>
      <c r="C15" s="68">
        <f>[1]CPI!D15</f>
        <v>5.0086355785837631</v>
      </c>
      <c r="D15" s="68">
        <v>7.5</v>
      </c>
      <c r="E15" s="68">
        <v>16.657499999999999</v>
      </c>
      <c r="F15" s="68">
        <v>-3.29</v>
      </c>
      <c r="G15" s="69">
        <f>Assets!I15/Assets!B15</f>
        <v>2.8907696795278355</v>
      </c>
      <c r="H15" s="70">
        <v>23.1</v>
      </c>
      <c r="I15" s="48">
        <v>3.3999999999999998E-3</v>
      </c>
      <c r="J15" s="48">
        <v>-1.9400000000000001E-2</v>
      </c>
      <c r="K15" s="71">
        <v>-14272</v>
      </c>
    </row>
    <row r="16" spans="1:14" x14ac:dyDescent="0.35">
      <c r="A16" s="67">
        <v>42156</v>
      </c>
      <c r="B16" s="68">
        <v>7</v>
      </c>
      <c r="C16" s="68">
        <f>[1]CPI!D16</f>
        <v>5.3984575835475548</v>
      </c>
      <c r="D16" s="68">
        <v>7.5</v>
      </c>
      <c r="E16" s="68">
        <v>16.927499999999998</v>
      </c>
      <c r="F16" s="68">
        <v>1.62</v>
      </c>
      <c r="G16" s="69">
        <f>Assets!I16/Assets!B16</f>
        <v>2.8629433454045108</v>
      </c>
      <c r="H16" s="70">
        <v>23.2</v>
      </c>
      <c r="I16" s="48">
        <v>-2.2000000000000001E-3</v>
      </c>
      <c r="J16" s="48">
        <v>-3.0200000000000001E-2</v>
      </c>
      <c r="K16" s="71">
        <v>-1607</v>
      </c>
    </row>
    <row r="17" spans="1:11" x14ac:dyDescent="0.35">
      <c r="A17" s="67">
        <v>42186</v>
      </c>
      <c r="B17" s="68">
        <v>7.4</v>
      </c>
      <c r="C17" s="68">
        <f>[1]CPI!D17</f>
        <v>3.6912751677852276</v>
      </c>
      <c r="D17" s="68">
        <v>7.2499999999999991</v>
      </c>
      <c r="E17" s="68">
        <v>14.57</v>
      </c>
      <c r="F17" s="68">
        <v>-13.93</v>
      </c>
      <c r="G17" s="69">
        <f>Assets!I17/Assets!B17</f>
        <v>2.6398610334380042</v>
      </c>
      <c r="H17" s="70">
        <v>23.5</v>
      </c>
      <c r="I17" s="48">
        <v>6.0000000000000001E-3</v>
      </c>
      <c r="J17" s="48">
        <v>-0.17599999999999999</v>
      </c>
      <c r="K17" s="71">
        <v>5323</v>
      </c>
    </row>
    <row r="18" spans="1:11" x14ac:dyDescent="0.35">
      <c r="A18" s="67">
        <v>42217</v>
      </c>
      <c r="B18" s="68">
        <v>7.4</v>
      </c>
      <c r="C18" s="68">
        <f>[1]CPI!D18</f>
        <v>3.7406483790523692</v>
      </c>
      <c r="D18" s="68">
        <v>7.2499999999999991</v>
      </c>
      <c r="E18" s="68">
        <v>24.594999999999999</v>
      </c>
      <c r="F18" s="68">
        <v>68.81</v>
      </c>
      <c r="G18" s="69">
        <f>Assets!I18/Assets!B18</f>
        <v>3.0330596747340399</v>
      </c>
      <c r="H18" s="70">
        <v>22.1</v>
      </c>
      <c r="I18" s="48">
        <v>3.7900000000000003E-2</v>
      </c>
      <c r="J18" s="48">
        <v>4.0500000000000001E-2</v>
      </c>
      <c r="K18" s="71">
        <v>-17524</v>
      </c>
    </row>
    <row r="19" spans="1:11" x14ac:dyDescent="0.35">
      <c r="A19" s="67">
        <v>42248</v>
      </c>
      <c r="B19" s="68">
        <v>7.4</v>
      </c>
      <c r="C19" s="68">
        <f>[1]CPI!D19</f>
        <v>4.4129891756869366</v>
      </c>
      <c r="D19" s="68">
        <v>7.2499999999999991</v>
      </c>
      <c r="E19" s="68">
        <v>19.625</v>
      </c>
      <c r="F19" s="68">
        <v>-20.21</v>
      </c>
      <c r="G19" s="69">
        <f>Assets!I19/Assets!B19</f>
        <v>2.9547733689410842</v>
      </c>
      <c r="H19" s="70">
        <v>22.2</v>
      </c>
      <c r="I19" s="48">
        <v>-1.35E-2</v>
      </c>
      <c r="J19" s="48">
        <v>-0.108</v>
      </c>
      <c r="K19" s="71">
        <v>-5787</v>
      </c>
    </row>
    <row r="20" spans="1:11" x14ac:dyDescent="0.35">
      <c r="A20" s="67">
        <v>42278</v>
      </c>
      <c r="B20" s="68">
        <v>7.3</v>
      </c>
      <c r="C20" s="68">
        <f>[1]CPI!D20</f>
        <v>4.9958368026644466</v>
      </c>
      <c r="D20" s="68">
        <v>6.75</v>
      </c>
      <c r="E20" s="68">
        <v>17.88</v>
      </c>
      <c r="F20" s="68">
        <v>-8.89</v>
      </c>
      <c r="G20" s="69">
        <f>Assets!I20/Assets!B20</f>
        <v>2.9760842721675766</v>
      </c>
      <c r="H20" s="70">
        <v>22.1</v>
      </c>
      <c r="I20" s="48">
        <v>-1.4E-3</v>
      </c>
      <c r="J20" s="48">
        <v>2.5700000000000001E-2</v>
      </c>
      <c r="K20" s="71">
        <v>22352</v>
      </c>
    </row>
    <row r="21" spans="1:11" x14ac:dyDescent="0.35">
      <c r="A21" s="67">
        <v>42309</v>
      </c>
      <c r="B21" s="68">
        <v>7.3</v>
      </c>
      <c r="C21" s="68">
        <f>[1]CPI!D21</f>
        <v>5.4121565362198174</v>
      </c>
      <c r="D21" s="68">
        <v>6.75</v>
      </c>
      <c r="E21" s="68">
        <v>16.43</v>
      </c>
      <c r="F21" s="68">
        <v>-8.11</v>
      </c>
      <c r="G21" s="69">
        <f>Assets!I21/Assets!B21</f>
        <v>2.8682044667263971</v>
      </c>
      <c r="H21" s="70">
        <v>21.5</v>
      </c>
      <c r="I21" s="48">
        <v>1.5900000000000001E-2</v>
      </c>
      <c r="J21" s="48">
        <v>-0.1008</v>
      </c>
      <c r="K21" s="71">
        <v>-10828</v>
      </c>
    </row>
    <row r="22" spans="1:11" x14ac:dyDescent="0.35">
      <c r="A22" s="67">
        <v>42339</v>
      </c>
      <c r="B22" s="68">
        <v>7.3</v>
      </c>
      <c r="C22" s="68">
        <f>[1]CPI!D22</f>
        <v>5.6113902847571087</v>
      </c>
      <c r="D22" s="68">
        <v>6.75</v>
      </c>
      <c r="E22" s="68">
        <v>13.87</v>
      </c>
      <c r="F22" s="68">
        <v>-15.58</v>
      </c>
      <c r="G22" s="69">
        <f>Assets!I22/Assets!B22</f>
        <v>2.8395905146189668</v>
      </c>
      <c r="H22" s="70">
        <v>21.5</v>
      </c>
      <c r="I22" s="48">
        <v>-3.8E-3</v>
      </c>
      <c r="J22" s="48">
        <v>-0.1673</v>
      </c>
      <c r="K22" s="71">
        <v>-8307</v>
      </c>
    </row>
    <row r="23" spans="1:11" x14ac:dyDescent="0.35">
      <c r="A23" s="67">
        <v>42370</v>
      </c>
      <c r="B23" s="68">
        <v>7.9</v>
      </c>
      <c r="C23" s="68">
        <f>[1]CPI!D23</f>
        <v>5.690376569037654</v>
      </c>
      <c r="D23" s="68">
        <v>6.75</v>
      </c>
      <c r="E23" s="68">
        <v>17.239999999999998</v>
      </c>
      <c r="F23" s="68">
        <v>24.3</v>
      </c>
      <c r="G23" s="69">
        <f>Assets!I23/Assets!B23</f>
        <v>3.2206974906887265</v>
      </c>
      <c r="H23" s="70">
        <v>20.2</v>
      </c>
      <c r="I23" s="48">
        <v>2.52E-2</v>
      </c>
      <c r="J23" s="48">
        <v>-4.4600000000000001E-2</v>
      </c>
      <c r="K23" s="71">
        <v>-8814</v>
      </c>
    </row>
    <row r="24" spans="1:11" x14ac:dyDescent="0.35">
      <c r="A24" s="67">
        <v>42401</v>
      </c>
      <c r="B24" s="68">
        <v>7.9</v>
      </c>
      <c r="C24" s="68">
        <f>[1]CPI!D24</f>
        <v>5.2631578947368398</v>
      </c>
      <c r="D24" s="68">
        <v>6.75</v>
      </c>
      <c r="E24" s="68">
        <v>20.157499999999999</v>
      </c>
      <c r="F24" s="68">
        <v>16.920000000000002</v>
      </c>
      <c r="G24" s="69">
        <f>Assets!I24/Assets!B24</f>
        <v>3.8736862196554034</v>
      </c>
      <c r="H24" s="70">
        <v>18.899999999999999</v>
      </c>
      <c r="I24" s="48">
        <v>4.8999999999999998E-3</v>
      </c>
      <c r="J24" s="48">
        <v>1.61E-2</v>
      </c>
      <c r="K24" s="71">
        <v>-13716</v>
      </c>
    </row>
    <row r="25" spans="1:11" x14ac:dyDescent="0.35">
      <c r="A25" s="67">
        <v>42430</v>
      </c>
      <c r="B25" s="68">
        <v>7.9</v>
      </c>
      <c r="C25" s="68">
        <f>[1]CPI!D25</f>
        <v>4.8252911813643902</v>
      </c>
      <c r="D25" s="68">
        <v>6.75</v>
      </c>
      <c r="E25" s="68">
        <v>16.5825</v>
      </c>
      <c r="F25" s="68">
        <v>-17.739999999999998</v>
      </c>
      <c r="G25" s="69">
        <f>Assets!I25/Assets!B25</f>
        <v>3.4009742646129206</v>
      </c>
      <c r="H25" s="70">
        <v>20.9</v>
      </c>
      <c r="I25" s="48">
        <v>-2.86E-2</v>
      </c>
      <c r="J25" s="48">
        <v>0.1028</v>
      </c>
      <c r="K25" s="71">
        <v>19665</v>
      </c>
    </row>
    <row r="26" spans="1:11" x14ac:dyDescent="0.35">
      <c r="A26" s="67">
        <v>42461</v>
      </c>
      <c r="B26" s="68">
        <v>7.1</v>
      </c>
      <c r="C26" s="68">
        <f>[1]CPI!D26</f>
        <v>5.4681027340513628</v>
      </c>
      <c r="D26" s="68">
        <v>6.75</v>
      </c>
      <c r="E26" s="68">
        <v>16.537500000000001</v>
      </c>
      <c r="F26" s="68">
        <v>-0.27</v>
      </c>
      <c r="G26" s="69">
        <f>Assets!I26/Assets!B26</f>
        <v>3.5103977879136399</v>
      </c>
      <c r="H26" s="70">
        <v>21.2</v>
      </c>
      <c r="I26" s="48">
        <v>2.5000000000000001E-3</v>
      </c>
      <c r="J26" s="48">
        <v>0.17460000000000001</v>
      </c>
      <c r="K26" s="71">
        <v>14833</v>
      </c>
    </row>
    <row r="27" spans="1:11" x14ac:dyDescent="0.35">
      <c r="A27" s="67">
        <v>42491</v>
      </c>
      <c r="B27" s="68">
        <v>7.1</v>
      </c>
      <c r="C27" s="68">
        <f>[1]CPI!D27</f>
        <v>5.7565789473684212</v>
      </c>
      <c r="D27" s="68">
        <v>6.5</v>
      </c>
      <c r="E27" s="68">
        <v>16.045000000000002</v>
      </c>
      <c r="F27" s="68">
        <v>-2.98</v>
      </c>
      <c r="G27" s="69">
        <f>Assets!I27/Assets!B27</f>
        <v>3.2234952705399977</v>
      </c>
      <c r="H27" s="70">
        <v>22.6</v>
      </c>
      <c r="I27" s="48">
        <v>1.18E-2</v>
      </c>
      <c r="J27" s="48">
        <v>5.3199999999999997E-2</v>
      </c>
      <c r="K27" s="71">
        <v>-1867</v>
      </c>
    </row>
    <row r="28" spans="1:11" x14ac:dyDescent="0.35">
      <c r="A28" s="67">
        <v>42522</v>
      </c>
      <c r="B28" s="68">
        <v>7.1</v>
      </c>
      <c r="C28" s="68">
        <f>[1]CPI!D28</f>
        <v>5.7723577235772305</v>
      </c>
      <c r="D28" s="68">
        <v>6.5</v>
      </c>
      <c r="E28" s="68">
        <v>16.29</v>
      </c>
      <c r="F28" s="68">
        <v>1.53</v>
      </c>
      <c r="G28" s="69">
        <f>Assets!I28/Assets!B28</f>
        <v>3.4576746150649118</v>
      </c>
      <c r="H28" s="70">
        <v>22.8</v>
      </c>
      <c r="I28" s="48">
        <v>4.4000000000000003E-3</v>
      </c>
      <c r="J28" s="48">
        <v>-3.5999999999999999E-3</v>
      </c>
      <c r="K28" s="71">
        <v>-2507</v>
      </c>
    </row>
    <row r="29" spans="1:11" x14ac:dyDescent="0.35">
      <c r="A29" s="67">
        <v>42552</v>
      </c>
      <c r="B29" s="68">
        <v>7.3</v>
      </c>
      <c r="C29" s="68">
        <f>[1]CPI!D29</f>
        <v>6.0679611650485441</v>
      </c>
      <c r="D29" s="68">
        <v>6.5</v>
      </c>
      <c r="E29" s="68">
        <v>14.9175</v>
      </c>
      <c r="F29" s="68">
        <v>-8.43</v>
      </c>
      <c r="G29" s="69">
        <f>Assets!I29/Assets!B29</f>
        <v>3.3663715829728149</v>
      </c>
      <c r="H29" s="70">
        <v>23.6</v>
      </c>
      <c r="I29" s="48">
        <v>-1.2800000000000001E-2</v>
      </c>
      <c r="J29" s="48">
        <v>-0.12429999999999999</v>
      </c>
      <c r="K29" s="71">
        <v>19458</v>
      </c>
    </row>
    <row r="30" spans="1:11" x14ac:dyDescent="0.35">
      <c r="A30" s="67">
        <v>42583</v>
      </c>
      <c r="B30" s="68">
        <v>7.3</v>
      </c>
      <c r="C30" s="68">
        <f>[1]CPI!D30</f>
        <v>5.0480769230769207</v>
      </c>
      <c r="D30" s="68">
        <v>6.5</v>
      </c>
      <c r="E30" s="68">
        <v>13.2425</v>
      </c>
      <c r="F30" s="68">
        <v>-11.23</v>
      </c>
      <c r="G30" s="69">
        <f>Assets!I30/Assets!B30</f>
        <v>3.2133626008416285</v>
      </c>
      <c r="H30" s="70">
        <v>24.1</v>
      </c>
      <c r="I30" s="48">
        <v>5.0000000000000001E-3</v>
      </c>
      <c r="J30" s="48">
        <v>7.7200000000000005E-2</v>
      </c>
      <c r="K30" s="71">
        <v>6445</v>
      </c>
    </row>
    <row r="31" spans="1:11" x14ac:dyDescent="0.35">
      <c r="A31" s="67">
        <v>42614</v>
      </c>
      <c r="B31" s="68">
        <v>7.3</v>
      </c>
      <c r="C31" s="68">
        <f>[1]CPI!D31</f>
        <v>4.3859649122807012</v>
      </c>
      <c r="D31" s="68">
        <v>6.5</v>
      </c>
      <c r="E31" s="68">
        <v>17.18</v>
      </c>
      <c r="F31" s="68">
        <v>29.73</v>
      </c>
      <c r="G31" s="69">
        <f>Assets!I31/Assets!B31</f>
        <v>3.2724294256260866</v>
      </c>
      <c r="H31" s="70">
        <v>23.4</v>
      </c>
      <c r="I31" s="48">
        <v>-6.1999999999999998E-3</v>
      </c>
      <c r="J31" s="48">
        <v>7.0400000000000004E-2</v>
      </c>
      <c r="K31" s="71">
        <v>20233</v>
      </c>
    </row>
    <row r="32" spans="1:11" x14ac:dyDescent="0.35">
      <c r="A32" s="67">
        <v>42644</v>
      </c>
      <c r="B32" s="68">
        <v>7.1</v>
      </c>
      <c r="C32" s="68">
        <f>[1]CPI!D32</f>
        <v>4.2030134813640059</v>
      </c>
      <c r="D32" s="68">
        <v>6.5</v>
      </c>
      <c r="E32" s="68">
        <v>15.49</v>
      </c>
      <c r="F32" s="68">
        <v>-9.84</v>
      </c>
      <c r="G32" s="69">
        <f>Assets!I32/Assets!B32</f>
        <v>3.1638940462222949</v>
      </c>
      <c r="H32" s="70">
        <v>23.3</v>
      </c>
      <c r="I32" s="48">
        <v>1.9E-3</v>
      </c>
      <c r="J32" s="48">
        <v>-3.15E-2</v>
      </c>
      <c r="K32" s="71">
        <v>-10306</v>
      </c>
    </row>
    <row r="33" spans="1:11" x14ac:dyDescent="0.35">
      <c r="A33" s="67">
        <v>42675</v>
      </c>
      <c r="B33" s="68">
        <v>7.1</v>
      </c>
      <c r="C33" s="68">
        <f>[1]CPI!D33</f>
        <v>3.6334913112164253</v>
      </c>
      <c r="D33" s="68">
        <v>6.25</v>
      </c>
      <c r="E33" s="68">
        <v>16.850000000000001</v>
      </c>
      <c r="F33" s="68">
        <v>8.7799999999999994</v>
      </c>
      <c r="G33" s="69">
        <f>Assets!I33/Assets!B33</f>
        <v>3.1474618515888459</v>
      </c>
      <c r="H33" s="70">
        <v>21.6</v>
      </c>
      <c r="I33" s="48">
        <v>2.87E-2</v>
      </c>
      <c r="J33" s="48">
        <v>6.6400000000000001E-2</v>
      </c>
      <c r="K33" s="71">
        <v>-39395</v>
      </c>
    </row>
    <row r="34" spans="1:11" x14ac:dyDescent="0.35">
      <c r="A34" s="67">
        <v>42705</v>
      </c>
      <c r="B34" s="68">
        <v>7.1</v>
      </c>
      <c r="C34" s="68">
        <f>[1]CPI!D34</f>
        <v>3.4099920697858934</v>
      </c>
      <c r="D34" s="68">
        <v>6.25</v>
      </c>
      <c r="E34" s="68">
        <v>15.465</v>
      </c>
      <c r="F34" s="68">
        <v>-8.2200000000000006</v>
      </c>
      <c r="G34" s="69">
        <f>Assets!I34/Assets!B34</f>
        <v>3.0734523083591379</v>
      </c>
      <c r="H34" s="70">
        <v>21.9</v>
      </c>
      <c r="I34" s="48">
        <v>-9.4000000000000004E-3</v>
      </c>
      <c r="J34" s="48">
        <v>0.109</v>
      </c>
      <c r="K34" s="71">
        <v>-27110</v>
      </c>
    </row>
    <row r="35" spans="1:11" x14ac:dyDescent="0.35">
      <c r="A35" s="67">
        <v>42736</v>
      </c>
      <c r="B35" s="68">
        <v>6.3</v>
      </c>
      <c r="C35" s="68">
        <f>[1]CPI!D35</f>
        <v>3.1670625494853639</v>
      </c>
      <c r="D35" s="68">
        <v>6.25</v>
      </c>
      <c r="E35" s="68">
        <v>16.824999999999999</v>
      </c>
      <c r="F35" s="68">
        <v>8.7899999999999991</v>
      </c>
      <c r="G35" s="69">
        <f>Assets!I35/Assets!B35</f>
        <v>3.0702802573958996</v>
      </c>
      <c r="H35" s="70">
        <v>22.9</v>
      </c>
      <c r="I35" s="48">
        <v>-6.7000000000000002E-3</v>
      </c>
      <c r="J35" s="48">
        <v>-3.32E-2</v>
      </c>
      <c r="K35" s="71">
        <v>-3496</v>
      </c>
    </row>
    <row r="36" spans="1:11" x14ac:dyDescent="0.35">
      <c r="A36" s="67">
        <v>42767</v>
      </c>
      <c r="B36" s="68">
        <v>6.3</v>
      </c>
      <c r="C36" s="68">
        <f>[1]CPI!D36</f>
        <v>3.6507936507936463</v>
      </c>
      <c r="D36" s="68">
        <v>6.25</v>
      </c>
      <c r="E36" s="68">
        <v>13.7925</v>
      </c>
      <c r="F36" s="68">
        <v>-18.02</v>
      </c>
      <c r="G36" s="69">
        <f>Assets!I36/Assets!B36</f>
        <v>3.0282105761505873</v>
      </c>
      <c r="H36" s="70">
        <v>23.1</v>
      </c>
      <c r="I36" s="48">
        <v>-1.17E-2</v>
      </c>
      <c r="J36" s="48">
        <v>1.67E-2</v>
      </c>
      <c r="K36" s="71">
        <v>15862</v>
      </c>
    </row>
    <row r="37" spans="1:11" x14ac:dyDescent="0.35">
      <c r="A37" s="67">
        <v>42795</v>
      </c>
      <c r="B37" s="68">
        <v>6.3</v>
      </c>
      <c r="C37" s="68">
        <f>[1]CPI!D37</f>
        <v>3.8888888888888933</v>
      </c>
      <c r="D37" s="68">
        <v>6.25</v>
      </c>
      <c r="E37" s="68">
        <v>12.42</v>
      </c>
      <c r="F37" s="68">
        <v>-9.9499999999999993</v>
      </c>
      <c r="G37" s="69">
        <f>Assets!I37/Assets!B37</f>
        <v>2.843678887020225</v>
      </c>
      <c r="H37" s="70">
        <v>23.3</v>
      </c>
      <c r="I37" s="48">
        <v>-2.7699999999999999E-2</v>
      </c>
      <c r="J37" s="48">
        <v>-5.2699999999999997E-2</v>
      </c>
      <c r="K37" s="71">
        <v>56261</v>
      </c>
    </row>
    <row r="38" spans="1:11" x14ac:dyDescent="0.35">
      <c r="A38" s="67">
        <v>42826</v>
      </c>
      <c r="B38" s="68">
        <v>7.2</v>
      </c>
      <c r="C38" s="68">
        <f>[1]CPI!D38</f>
        <v>2.9850746268656696</v>
      </c>
      <c r="D38" s="68">
        <v>6.25</v>
      </c>
      <c r="E38" s="68">
        <v>10.86</v>
      </c>
      <c r="F38" s="68">
        <v>-12.56</v>
      </c>
      <c r="G38" s="69">
        <f>Assets!I38/Assets!B38</f>
        <v>2.8167544874406989</v>
      </c>
      <c r="H38" s="70">
        <v>23.6</v>
      </c>
      <c r="I38" s="48">
        <v>-8.8999999999999999E-3</v>
      </c>
      <c r="J38" s="48">
        <v>-2.76E-2</v>
      </c>
      <c r="K38" s="71">
        <v>22758</v>
      </c>
    </row>
    <row r="39" spans="1:11" x14ac:dyDescent="0.35">
      <c r="A39" s="67">
        <v>42856</v>
      </c>
      <c r="B39" s="68">
        <v>7.2</v>
      </c>
      <c r="C39" s="68">
        <f>[1]CPI!D39</f>
        <v>2.1772939346811913</v>
      </c>
      <c r="D39" s="68">
        <v>6.25</v>
      </c>
      <c r="E39" s="68">
        <v>11.762499999999999</v>
      </c>
      <c r="F39" s="68">
        <v>8.31</v>
      </c>
      <c r="G39" s="69">
        <f>Assets!I39/Assets!B39</f>
        <v>2.7491537612986039</v>
      </c>
      <c r="H39" s="70">
        <v>24.4</v>
      </c>
      <c r="I39" s="48">
        <v>3.7000000000000002E-3</v>
      </c>
      <c r="J39" s="48">
        <v>-2.4799999999999999E-2</v>
      </c>
      <c r="K39" s="71">
        <v>26866</v>
      </c>
    </row>
    <row r="40" spans="1:11" x14ac:dyDescent="0.35">
      <c r="A40" s="67">
        <v>42887</v>
      </c>
      <c r="B40" s="68">
        <v>7.2</v>
      </c>
      <c r="C40" s="68">
        <f>[1]CPI!D40</f>
        <v>1.4604150653343626</v>
      </c>
      <c r="D40" s="68">
        <v>6.25</v>
      </c>
      <c r="E40" s="68">
        <v>11.7325</v>
      </c>
      <c r="F40" s="68">
        <v>-0.26</v>
      </c>
      <c r="G40" s="69">
        <f>Assets!I40/Assets!B40</f>
        <v>2.710644528511398</v>
      </c>
      <c r="H40" s="70">
        <v>24.2</v>
      </c>
      <c r="I40" s="48">
        <v>1.6999999999999999E-3</v>
      </c>
      <c r="J40" s="48">
        <v>-3.9199999999999999E-2</v>
      </c>
      <c r="K40" s="71">
        <v>29302</v>
      </c>
    </row>
    <row r="41" spans="1:11" x14ac:dyDescent="0.35">
      <c r="A41" s="67">
        <v>42917</v>
      </c>
      <c r="B41" s="68">
        <v>7.7</v>
      </c>
      <c r="C41" s="68">
        <f>[1]CPI!D41</f>
        <v>2.3646071700991569</v>
      </c>
      <c r="D41" s="68">
        <v>6.25</v>
      </c>
      <c r="E41" s="68">
        <v>11.9</v>
      </c>
      <c r="F41" s="68">
        <v>1.43</v>
      </c>
      <c r="G41" s="69">
        <f>Assets!I41/Assets!B41</f>
        <v>2.6070661730761153</v>
      </c>
      <c r="H41" s="70">
        <v>25.7</v>
      </c>
      <c r="I41" s="48">
        <v>-6.8999999999999999E-3</v>
      </c>
      <c r="J41" s="48">
        <v>8.1000000000000003E-2</v>
      </c>
      <c r="K41" s="71">
        <v>24028</v>
      </c>
    </row>
    <row r="42" spans="1:11" x14ac:dyDescent="0.35">
      <c r="A42" s="67">
        <v>42948</v>
      </c>
      <c r="B42" s="68">
        <v>7.7</v>
      </c>
      <c r="C42" s="68">
        <f>[1]CPI!D42</f>
        <v>3.2799389778794903</v>
      </c>
      <c r="D42" s="68">
        <v>6</v>
      </c>
      <c r="E42" s="68">
        <v>11.952500000000001</v>
      </c>
      <c r="F42" s="68">
        <v>0.44</v>
      </c>
      <c r="G42" s="69">
        <f>Assets!I42/Assets!B42</f>
        <v>2.7401407434569056</v>
      </c>
      <c r="H42" s="70">
        <v>25.6</v>
      </c>
      <c r="I42" s="48">
        <v>-3.7000000000000002E-3</v>
      </c>
      <c r="J42" s="48">
        <v>2.7000000000000001E-3</v>
      </c>
      <c r="K42" s="71">
        <v>2677</v>
      </c>
    </row>
    <row r="43" spans="1:11" x14ac:dyDescent="0.35">
      <c r="A43" s="67">
        <v>42979</v>
      </c>
      <c r="B43" s="68">
        <v>7.7</v>
      </c>
      <c r="C43" s="68">
        <f>[1]CPI!D43</f>
        <v>3.2849503437738599</v>
      </c>
      <c r="D43" s="68">
        <v>6</v>
      </c>
      <c r="E43" s="68">
        <v>12.484999999999999</v>
      </c>
      <c r="F43" s="68">
        <v>4.46</v>
      </c>
      <c r="G43" s="69">
        <f>Assets!I43/Assets!B43</f>
        <v>2.7558280606853911</v>
      </c>
      <c r="H43" s="70">
        <v>25.4</v>
      </c>
      <c r="I43" s="48">
        <v>2.1499999999999998E-2</v>
      </c>
      <c r="J43" s="48">
        <v>7.4300000000000005E-2</v>
      </c>
      <c r="K43" s="71">
        <v>-10043</v>
      </c>
    </row>
    <row r="44" spans="1:11" x14ac:dyDescent="0.35">
      <c r="A44" s="67">
        <v>43009</v>
      </c>
      <c r="B44" s="68">
        <v>8.1999999999999993</v>
      </c>
      <c r="C44" s="68">
        <f>[1]CPI!D44</f>
        <v>3.5768645357686371</v>
      </c>
      <c r="D44" s="68">
        <v>6</v>
      </c>
      <c r="E44" s="68">
        <v>12.44</v>
      </c>
      <c r="F44" s="68">
        <v>-0.36</v>
      </c>
      <c r="G44" s="69">
        <f>Assets!I44/Assets!B44</f>
        <v>2.5586743489681769</v>
      </c>
      <c r="H44" s="70">
        <v>26.4</v>
      </c>
      <c r="I44" s="48">
        <v>-8.6999999999999994E-3</v>
      </c>
      <c r="J44" s="48">
        <v>7.3099999999999998E-2</v>
      </c>
      <c r="K44" s="71">
        <v>19119</v>
      </c>
    </row>
    <row r="45" spans="1:11" x14ac:dyDescent="0.35">
      <c r="A45" s="67">
        <v>43040</v>
      </c>
      <c r="B45" s="68">
        <v>8.1999999999999993</v>
      </c>
      <c r="C45" s="68">
        <f>[1]CPI!D45</f>
        <v>4.8780487804878101</v>
      </c>
      <c r="D45" s="68">
        <v>6</v>
      </c>
      <c r="E45" s="68">
        <v>13.55</v>
      </c>
      <c r="F45" s="68">
        <v>8.92</v>
      </c>
      <c r="G45" s="69">
        <f>Assets!I45/Assets!B45</f>
        <v>2.5991147721359571</v>
      </c>
      <c r="H45" s="70">
        <v>26.2</v>
      </c>
      <c r="I45" s="48">
        <v>-4.0000000000000001E-3</v>
      </c>
      <c r="J45" s="48">
        <v>2.7699999999999999E-2</v>
      </c>
      <c r="K45" s="71">
        <v>20258</v>
      </c>
    </row>
    <row r="46" spans="1:11" x14ac:dyDescent="0.35">
      <c r="A46" s="67">
        <v>43070</v>
      </c>
      <c r="B46" s="68">
        <v>8.1999999999999993</v>
      </c>
      <c r="C46" s="68">
        <f>[1]CPI!D46</f>
        <v>5.2147239263803549</v>
      </c>
      <c r="D46" s="68">
        <v>6</v>
      </c>
      <c r="E46" s="68">
        <v>12.67</v>
      </c>
      <c r="F46" s="68">
        <v>-6.49</v>
      </c>
      <c r="G46" s="69">
        <f>Assets!I46/Assets!B46</f>
        <v>2.5265672532763128</v>
      </c>
      <c r="H46" s="70">
        <v>26.9</v>
      </c>
      <c r="I46" s="48">
        <v>-1.01E-2</v>
      </c>
      <c r="J46" s="48">
        <v>6.08E-2</v>
      </c>
      <c r="K46" s="71">
        <v>-3544</v>
      </c>
    </row>
    <row r="47" spans="1:11" x14ac:dyDescent="0.35">
      <c r="A47" s="67">
        <v>43101</v>
      </c>
      <c r="B47" s="68">
        <v>6.6</v>
      </c>
      <c r="C47" s="68">
        <f>[1]CPI!D47</f>
        <v>5.0652340752110465</v>
      </c>
      <c r="D47" s="68">
        <v>6</v>
      </c>
      <c r="E47" s="68">
        <v>15.93</v>
      </c>
      <c r="F47" s="68">
        <v>25.73</v>
      </c>
      <c r="G47" s="69">
        <f>Assets!I47/Assets!B47</f>
        <v>2.4885260157235658</v>
      </c>
      <c r="H47" s="70">
        <v>27.5</v>
      </c>
      <c r="I47" s="48">
        <v>-4.4999999999999997E-3</v>
      </c>
      <c r="J47" s="48">
        <v>3.6900000000000002E-2</v>
      </c>
      <c r="K47" s="71">
        <v>22272</v>
      </c>
    </row>
    <row r="48" spans="1:11" x14ac:dyDescent="0.35">
      <c r="A48" s="67">
        <v>43132</v>
      </c>
      <c r="B48" s="68">
        <v>6.6</v>
      </c>
      <c r="C48" s="68">
        <f>[1]CPI!D48</f>
        <v>4.4410413476263493</v>
      </c>
      <c r="D48" s="68">
        <v>6</v>
      </c>
      <c r="E48" s="68">
        <v>13.805</v>
      </c>
      <c r="F48" s="68">
        <v>-13.34</v>
      </c>
      <c r="G48" s="69">
        <f>Assets!I48/Assets!B48</f>
        <v>2.6376519791129804</v>
      </c>
      <c r="H48" s="70">
        <v>25.7</v>
      </c>
      <c r="I48" s="48">
        <v>2.6100000000000002E-2</v>
      </c>
      <c r="J48" s="48">
        <v>-6.0400000000000002E-2</v>
      </c>
      <c r="K48" s="71">
        <v>-11674</v>
      </c>
    </row>
    <row r="49" spans="1:11" x14ac:dyDescent="0.35">
      <c r="A49" s="67">
        <v>43160</v>
      </c>
      <c r="B49" s="68">
        <v>6.6</v>
      </c>
      <c r="C49" s="68">
        <f>[1]CPI!D49</f>
        <v>4.2780748663101562</v>
      </c>
      <c r="D49" s="68">
        <v>6</v>
      </c>
      <c r="E49" s="68">
        <v>15.7575</v>
      </c>
      <c r="F49" s="68">
        <v>14.14</v>
      </c>
      <c r="G49" s="69">
        <f>Assets!I49/Assets!B49</f>
        <v>2.7402081174666812</v>
      </c>
      <c r="H49" s="70">
        <v>24.7</v>
      </c>
      <c r="I49" s="48">
        <v>-1.4E-3</v>
      </c>
      <c r="J49" s="48">
        <v>7.1199999999999999E-2</v>
      </c>
      <c r="K49" s="71">
        <v>2662</v>
      </c>
    </row>
    <row r="50" spans="1:11" x14ac:dyDescent="0.35">
      <c r="A50" s="67">
        <v>43191</v>
      </c>
      <c r="B50" s="68">
        <v>5.8</v>
      </c>
      <c r="C50" s="68">
        <f>[1]CPI!D50</f>
        <v>4.5766590389016022</v>
      </c>
      <c r="D50" s="68">
        <v>6</v>
      </c>
      <c r="E50" s="68">
        <v>12.362500000000001</v>
      </c>
      <c r="F50" s="68">
        <v>-21.55</v>
      </c>
      <c r="G50" s="69">
        <f>Assets!I50/Assets!B50</f>
        <v>2.6184610082121744</v>
      </c>
      <c r="H50" s="70">
        <v>26.7</v>
      </c>
      <c r="I50" s="48">
        <v>2.06E-2</v>
      </c>
      <c r="J50" s="48">
        <v>7.7200000000000005E-2</v>
      </c>
      <c r="K50" s="71">
        <v>-15561</v>
      </c>
    </row>
    <row r="51" spans="1:11" x14ac:dyDescent="0.35">
      <c r="A51" s="67">
        <v>43221</v>
      </c>
      <c r="B51" s="68">
        <v>5.8</v>
      </c>
      <c r="C51" s="68">
        <f>[1]CPI!D51</f>
        <v>4.8706240487062447</v>
      </c>
      <c r="D51" s="68">
        <v>6</v>
      </c>
      <c r="E51" s="68">
        <v>13.2225</v>
      </c>
      <c r="F51" s="68">
        <v>6.96</v>
      </c>
      <c r="G51" s="69">
        <f>Assets!I51/Assets!B51</f>
        <v>2.6317337573637962</v>
      </c>
      <c r="H51" s="70">
        <v>27.2</v>
      </c>
      <c r="I51" s="48">
        <v>1.46E-2</v>
      </c>
      <c r="J51" s="48">
        <v>3.8399999999999997E-2</v>
      </c>
      <c r="K51" s="71">
        <v>-29776</v>
      </c>
    </row>
    <row r="52" spans="1:11" x14ac:dyDescent="0.35">
      <c r="A52" s="67">
        <v>43252</v>
      </c>
      <c r="B52" s="68">
        <v>5.8</v>
      </c>
      <c r="C52" s="68">
        <f>[1]CPI!D52</f>
        <v>4.9242424242424239</v>
      </c>
      <c r="D52" s="68">
        <v>6</v>
      </c>
      <c r="E52" s="68">
        <v>12.9375</v>
      </c>
      <c r="F52" s="68">
        <v>-2.16</v>
      </c>
      <c r="G52" s="69">
        <f>Assets!I52/Assets!B52</f>
        <v>2.5686293978334929</v>
      </c>
      <c r="H52" s="70">
        <v>25.9</v>
      </c>
      <c r="I52" s="48">
        <v>1.5299999999999999E-2</v>
      </c>
      <c r="J52" s="48">
        <v>2.1499999999999998E-2</v>
      </c>
      <c r="K52" s="71">
        <v>-15795</v>
      </c>
    </row>
    <row r="53" spans="1:11" x14ac:dyDescent="0.35">
      <c r="A53" s="67">
        <v>43282</v>
      </c>
      <c r="B53" s="68">
        <v>5</v>
      </c>
      <c r="C53" s="68">
        <f>[1]CPI!D53</f>
        <v>4.1728763040238617</v>
      </c>
      <c r="D53" s="68">
        <v>6.25</v>
      </c>
      <c r="E53" s="68">
        <v>12.48</v>
      </c>
      <c r="F53" s="68">
        <v>-3.54</v>
      </c>
      <c r="G53" s="69">
        <f>Assets!I53/Assets!B53</f>
        <v>2.362624152678928</v>
      </c>
      <c r="H53" s="70">
        <v>28.2</v>
      </c>
      <c r="I53" s="48">
        <v>0</v>
      </c>
      <c r="J53" s="48">
        <v>-6.3399999999999998E-2</v>
      </c>
      <c r="K53" s="71">
        <v>2264</v>
      </c>
    </row>
    <row r="54" spans="1:11" x14ac:dyDescent="0.35">
      <c r="A54" s="67">
        <v>43313</v>
      </c>
      <c r="B54" s="68">
        <v>5</v>
      </c>
      <c r="C54" s="68">
        <f>[1]CPI!D54</f>
        <v>3.6927621861152145</v>
      </c>
      <c r="D54" s="68">
        <v>6.5</v>
      </c>
      <c r="E54" s="68">
        <v>12.5975</v>
      </c>
      <c r="F54" s="68">
        <v>0.94</v>
      </c>
      <c r="G54" s="69">
        <f>Assets!I54/Assets!B54</f>
        <v>2.3585275188430175</v>
      </c>
      <c r="H54" s="70">
        <v>28.4</v>
      </c>
      <c r="I54" s="48">
        <v>3.73E-2</v>
      </c>
      <c r="J54" s="48">
        <v>4.6199999999999998E-2</v>
      </c>
      <c r="K54" s="71">
        <v>5146</v>
      </c>
    </row>
    <row r="55" spans="1:11" x14ac:dyDescent="0.35">
      <c r="A55" s="67">
        <v>43344</v>
      </c>
      <c r="B55" s="68">
        <v>5</v>
      </c>
      <c r="C55" s="68">
        <f>[1]CPI!D55</f>
        <v>3.6982248520710059</v>
      </c>
      <c r="D55" s="68">
        <v>6.5</v>
      </c>
      <c r="E55" s="68">
        <v>16.995000000000001</v>
      </c>
      <c r="F55" s="68">
        <v>34.909999999999997</v>
      </c>
      <c r="G55" s="69">
        <f>Assets!I55/Assets!B55</f>
        <v>2.5238234136896085</v>
      </c>
      <c r="H55" s="70">
        <v>26.4</v>
      </c>
      <c r="I55" s="48">
        <v>2.1100000000000001E-2</v>
      </c>
      <c r="J55" s="48">
        <v>6.5600000000000006E-2</v>
      </c>
      <c r="K55" s="71">
        <v>-21035</v>
      </c>
    </row>
    <row r="56" spans="1:11" x14ac:dyDescent="0.35">
      <c r="A56" s="67">
        <v>43374</v>
      </c>
      <c r="B56" s="68">
        <v>4.5</v>
      </c>
      <c r="C56" s="68">
        <f>[1]CPI!D56</f>
        <v>3.3798677443056535</v>
      </c>
      <c r="D56" s="68">
        <v>6.5</v>
      </c>
      <c r="E56" s="68">
        <v>19.797499999999999</v>
      </c>
      <c r="F56" s="68">
        <v>16.489999999999998</v>
      </c>
      <c r="G56" s="69">
        <f>Assets!I56/Assets!B56</f>
        <v>2.7873776649427926</v>
      </c>
      <c r="H56" s="70">
        <v>25</v>
      </c>
      <c r="I56" s="48">
        <v>0.02</v>
      </c>
      <c r="J56" s="48">
        <v>-9.2999999999999999E-2</v>
      </c>
      <c r="K56" s="71">
        <v>-38906</v>
      </c>
    </row>
    <row r="57" spans="1:11" x14ac:dyDescent="0.35">
      <c r="A57" s="67">
        <v>43405</v>
      </c>
      <c r="B57" s="68">
        <v>4.5</v>
      </c>
      <c r="C57" s="68">
        <f>[1]CPI!D57</f>
        <v>2.3255813953488498</v>
      </c>
      <c r="D57" s="68">
        <v>6.5</v>
      </c>
      <c r="E57" s="68">
        <v>19.162500000000001</v>
      </c>
      <c r="F57" s="68">
        <v>-3.21</v>
      </c>
      <c r="G57" s="69">
        <f>Assets!I57/Assets!B57</f>
        <v>2.5122933329861223</v>
      </c>
      <c r="H57" s="70">
        <v>26.3</v>
      </c>
      <c r="I57" s="48">
        <v>-5.8299999999999998E-2</v>
      </c>
      <c r="J57" s="48">
        <v>-0.20760000000000001</v>
      </c>
      <c r="K57" s="71">
        <v>11595</v>
      </c>
    </row>
    <row r="58" spans="1:11" x14ac:dyDescent="0.35">
      <c r="A58" s="67">
        <v>43435</v>
      </c>
      <c r="B58" s="68">
        <v>4.5</v>
      </c>
      <c r="C58" s="68">
        <f>[1]CPI!D58</f>
        <v>2.1137026239067098</v>
      </c>
      <c r="D58" s="68">
        <v>6.5</v>
      </c>
      <c r="E58" s="68">
        <v>16</v>
      </c>
      <c r="F58" s="68">
        <v>-16.5</v>
      </c>
      <c r="G58" s="69">
        <f>Assets!I58/Assets!B58</f>
        <v>2.6386875309315956</v>
      </c>
      <c r="H58" s="70">
        <v>26.2</v>
      </c>
      <c r="I58" s="48">
        <v>-1.1000000000000001E-3</v>
      </c>
      <c r="J58" s="48">
        <v>-9.1499999999999998E-2</v>
      </c>
      <c r="K58" s="71">
        <v>7889</v>
      </c>
    </row>
    <row r="59" spans="1:11" x14ac:dyDescent="0.35">
      <c r="A59" s="67">
        <v>43466</v>
      </c>
      <c r="B59" s="68">
        <v>4.7</v>
      </c>
      <c r="C59" s="68">
        <f>[1]CPI!D59</f>
        <v>1.972242512783045</v>
      </c>
      <c r="D59" s="68">
        <v>6.5</v>
      </c>
      <c r="E59" s="68">
        <v>17.122499999999999</v>
      </c>
      <c r="F59" s="68">
        <v>7.02</v>
      </c>
      <c r="G59" s="69">
        <f>Assets!I59/Assets!B59</f>
        <v>2.7853018503711668</v>
      </c>
      <c r="H59" s="70">
        <v>26.3</v>
      </c>
      <c r="I59" s="48">
        <v>0.02</v>
      </c>
      <c r="J59" s="48">
        <v>0.12620000000000001</v>
      </c>
      <c r="K59" s="71">
        <v>-5556</v>
      </c>
    </row>
    <row r="60" spans="1:11" x14ac:dyDescent="0.35">
      <c r="A60" s="67">
        <v>43497</v>
      </c>
      <c r="B60" s="68">
        <v>4.7</v>
      </c>
      <c r="C60" s="68">
        <f>[1]CPI!D60</f>
        <v>2.5659824046920821</v>
      </c>
      <c r="D60" s="68">
        <v>6.25</v>
      </c>
      <c r="E60" s="68">
        <v>18.2775</v>
      </c>
      <c r="F60" s="68">
        <v>6.75</v>
      </c>
      <c r="G60" s="69">
        <f>Assets!I60/Assets!B60</f>
        <v>2.7967218283175321</v>
      </c>
      <c r="H60" s="70">
        <v>26.3</v>
      </c>
      <c r="I60" s="48">
        <v>-1.6999999999999999E-3</v>
      </c>
      <c r="J60" s="48">
        <v>8.9899999999999994E-2</v>
      </c>
      <c r="K60" s="71">
        <v>12053</v>
      </c>
    </row>
    <row r="61" spans="1:11" x14ac:dyDescent="0.35">
      <c r="A61" s="67">
        <v>43525</v>
      </c>
      <c r="B61" s="68">
        <v>4.7</v>
      </c>
      <c r="C61" s="68">
        <f>[1]CPI!D61</f>
        <v>2.8571428571428612</v>
      </c>
      <c r="D61" s="68">
        <v>6.25</v>
      </c>
      <c r="E61" s="68">
        <v>17.184999999999999</v>
      </c>
      <c r="F61" s="68">
        <v>-5.98</v>
      </c>
      <c r="G61" s="69">
        <f>Assets!I61/Assets!B61</f>
        <v>2.4705641224840265</v>
      </c>
      <c r="H61" s="70">
        <v>29</v>
      </c>
      <c r="I61" s="48">
        <v>-2.3300000000000001E-2</v>
      </c>
      <c r="J61" s="48">
        <v>1.9199999999999998E-2</v>
      </c>
      <c r="K61" s="71">
        <v>48751</v>
      </c>
    </row>
    <row r="62" spans="1:11" x14ac:dyDescent="0.35">
      <c r="A62" s="67">
        <v>43556</v>
      </c>
      <c r="B62" s="68">
        <v>3.1</v>
      </c>
      <c r="C62" s="68">
        <f>[1]CPI!D62</f>
        <v>2.9905178701677566</v>
      </c>
      <c r="D62" s="68">
        <v>6</v>
      </c>
      <c r="E62" s="68">
        <v>21.827500000000001</v>
      </c>
      <c r="F62" s="68">
        <v>27.01</v>
      </c>
      <c r="G62" s="69">
        <f>Assets!I62/Assets!B62</f>
        <v>2.4491133879967331</v>
      </c>
      <c r="H62" s="70">
        <v>29.3</v>
      </c>
      <c r="I62" s="48">
        <v>6.6E-3</v>
      </c>
      <c r="J62" s="48">
        <v>6.6299999999999998E-2</v>
      </c>
      <c r="K62" s="71">
        <v>16728</v>
      </c>
    </row>
    <row r="63" spans="1:11" x14ac:dyDescent="0.35">
      <c r="A63" s="67">
        <v>43586</v>
      </c>
      <c r="B63" s="68">
        <v>3.1</v>
      </c>
      <c r="C63" s="68">
        <f>[1]CPI!D63</f>
        <v>3.0478955007256809</v>
      </c>
      <c r="D63" s="68">
        <v>6</v>
      </c>
      <c r="E63" s="68">
        <v>16.067499999999999</v>
      </c>
      <c r="F63" s="68">
        <v>-26.39</v>
      </c>
      <c r="G63" s="69">
        <f>Assets!I63/Assets!B63</f>
        <v>2.4313052290179744</v>
      </c>
      <c r="H63" s="70">
        <v>29.5</v>
      </c>
      <c r="I63" s="48">
        <v>-8.9999999999999998E-4</v>
      </c>
      <c r="J63" s="48">
        <v>-0.13969999999999999</v>
      </c>
      <c r="K63" s="71">
        <v>11370</v>
      </c>
    </row>
    <row r="64" spans="1:11" x14ac:dyDescent="0.35">
      <c r="A64" s="67">
        <v>43617</v>
      </c>
      <c r="B64" s="68">
        <v>3.1</v>
      </c>
      <c r="C64" s="68">
        <f>[1]CPI!D64</f>
        <v>3.1768953068592101</v>
      </c>
      <c r="D64" s="68">
        <v>5.75</v>
      </c>
      <c r="E64" s="68">
        <v>14.952500000000001</v>
      </c>
      <c r="F64" s="68">
        <v>-6.94</v>
      </c>
      <c r="G64" s="69">
        <f>Assets!I64/Assets!B64</f>
        <v>2.6570162110931905</v>
      </c>
      <c r="H64" s="70">
        <v>29</v>
      </c>
      <c r="I64" s="48">
        <v>-9.1000000000000004E-3</v>
      </c>
      <c r="J64" s="48">
        <v>4.4400000000000002E-2</v>
      </c>
      <c r="K64" s="71">
        <v>13111</v>
      </c>
    </row>
    <row r="65" spans="1:11" x14ac:dyDescent="0.35">
      <c r="A65" s="67">
        <v>43647</v>
      </c>
      <c r="B65" s="68">
        <v>-23.9</v>
      </c>
      <c r="C65" s="68">
        <f>[1]CPI!D65</f>
        <v>3.14735336194562</v>
      </c>
      <c r="D65" s="68">
        <v>5.75</v>
      </c>
      <c r="E65" s="68">
        <v>13.59</v>
      </c>
      <c r="F65" s="68">
        <v>-9.11</v>
      </c>
      <c r="G65" s="69">
        <f>Assets!I65/Assets!B65</f>
        <v>2.8486174378145295</v>
      </c>
      <c r="H65" s="70">
        <v>27.4</v>
      </c>
      <c r="I65" s="48">
        <v>-1.1999999999999999E-3</v>
      </c>
      <c r="J65" s="48">
        <v>4.7999999999999996E-3</v>
      </c>
      <c r="K65" s="71">
        <v>-3003</v>
      </c>
    </row>
    <row r="66" spans="1:11" x14ac:dyDescent="0.35">
      <c r="A66" s="67">
        <v>43678</v>
      </c>
      <c r="B66" s="68">
        <v>-23.9</v>
      </c>
      <c r="C66" s="68">
        <f>[1]CPI!D66</f>
        <v>3.2763532763532721</v>
      </c>
      <c r="D66" s="68">
        <v>5.4</v>
      </c>
      <c r="E66" s="68">
        <v>16.282499999999999</v>
      </c>
      <c r="F66" s="68">
        <v>19.809999999999999</v>
      </c>
      <c r="G66" s="69">
        <f>Assets!I66/Assets!B66</f>
        <v>3.1812692385380763</v>
      </c>
      <c r="H66" s="70">
        <v>27.3</v>
      </c>
      <c r="I66" s="48">
        <v>3.7600000000000001E-2</v>
      </c>
      <c r="J66" s="48">
        <v>-8.9200000000000002E-2</v>
      </c>
      <c r="K66" s="71">
        <v>-5871</v>
      </c>
    </row>
    <row r="67" spans="1:11" x14ac:dyDescent="0.35">
      <c r="A67" s="67">
        <v>43709</v>
      </c>
      <c r="B67" s="68">
        <v>-23.9</v>
      </c>
      <c r="C67" s="68">
        <f>[1]CPI!D67</f>
        <v>3.9942938659058651</v>
      </c>
      <c r="D67" s="68">
        <v>5.4</v>
      </c>
      <c r="E67" s="68">
        <v>15.8725</v>
      </c>
      <c r="F67" s="68">
        <v>-2.52</v>
      </c>
      <c r="G67" s="69">
        <f>Assets!I67/Assets!B67</f>
        <v>2.9443926201517812</v>
      </c>
      <c r="H67" s="70">
        <v>26.4</v>
      </c>
      <c r="I67" s="48">
        <v>-1.14E-2</v>
      </c>
      <c r="J67" s="48">
        <v>0</v>
      </c>
      <c r="K67" s="71">
        <v>6582</v>
      </c>
    </row>
    <row r="68" spans="1:11" x14ac:dyDescent="0.35">
      <c r="A68" s="67">
        <v>43739</v>
      </c>
      <c r="B68" s="68">
        <v>-7.5</v>
      </c>
      <c r="C68" s="68">
        <f>[1]CPI!D68</f>
        <v>4.6197583511016349</v>
      </c>
      <c r="D68" s="68">
        <v>5.1499999999999995</v>
      </c>
      <c r="E68" s="68">
        <v>16.28</v>
      </c>
      <c r="F68" s="68">
        <v>2.57</v>
      </c>
      <c r="G68" s="69">
        <f>Assets!I68/Assets!B68</f>
        <v>2.8942203446399097</v>
      </c>
      <c r="H68" s="70">
        <v>27.4</v>
      </c>
      <c r="I68" s="48">
        <v>4.7999999999999996E-3</v>
      </c>
      <c r="J68" s="48">
        <v>6.1999999999999998E-3</v>
      </c>
      <c r="K68" s="71">
        <v>16069</v>
      </c>
    </row>
    <row r="69" spans="1:11" x14ac:dyDescent="0.35">
      <c r="A69" s="67">
        <v>43770</v>
      </c>
      <c r="B69" s="68">
        <v>-7.5</v>
      </c>
      <c r="C69" s="68">
        <f>[1]CPI!D69</f>
        <v>5.5397727272727151</v>
      </c>
      <c r="D69" s="68">
        <v>5.1499999999999995</v>
      </c>
      <c r="E69" s="68">
        <v>13.897500000000001</v>
      </c>
      <c r="F69" s="68">
        <v>-14.63</v>
      </c>
      <c r="G69" s="69">
        <f>Assets!I69/Assets!B69</f>
        <v>2.7864365040552572</v>
      </c>
      <c r="H69" s="70">
        <v>28.1</v>
      </c>
      <c r="I69" s="48">
        <v>1.0800000000000001E-2</v>
      </c>
      <c r="J69" s="48">
        <v>1.46E-2</v>
      </c>
      <c r="K69" s="71">
        <v>22999</v>
      </c>
    </row>
    <row r="70" spans="1:11" x14ac:dyDescent="0.35">
      <c r="A70" s="67">
        <v>43800</v>
      </c>
      <c r="B70" s="68">
        <v>-7.5</v>
      </c>
      <c r="C70" s="68">
        <f>[1]CPI!D70</f>
        <v>7.3518915060671031</v>
      </c>
      <c r="D70" s="68">
        <v>5.1499999999999995</v>
      </c>
      <c r="E70" s="68">
        <v>11.6675</v>
      </c>
      <c r="F70" s="68">
        <v>-16.05</v>
      </c>
      <c r="G70" s="69">
        <f>Assets!I70/Assets!B70</f>
        <v>2.8711068609628456</v>
      </c>
      <c r="H70" s="70">
        <v>28.3</v>
      </c>
      <c r="I70" s="48">
        <v>-5.4999999999999997E-3</v>
      </c>
      <c r="J70" s="48">
        <v>7.9399999999999998E-2</v>
      </c>
      <c r="K70" s="71">
        <v>2762</v>
      </c>
    </row>
    <row r="71" spans="1:11" x14ac:dyDescent="0.35">
      <c r="A71" s="67">
        <v>43831</v>
      </c>
      <c r="B71" s="68">
        <v>0.4</v>
      </c>
      <c r="C71" s="68">
        <f>[1]CPI!D71</f>
        <v>7.5931232091690504</v>
      </c>
      <c r="D71" s="68">
        <v>5.1499999999999995</v>
      </c>
      <c r="E71" s="68">
        <v>17.3675</v>
      </c>
      <c r="F71" s="68">
        <v>48.85</v>
      </c>
      <c r="G71" s="69">
        <f>Assets!I71/Assets!B71</f>
        <v>3.0396453044750631</v>
      </c>
      <c r="H71" s="70">
        <v>26.4</v>
      </c>
      <c r="I71" s="48">
        <v>2.7000000000000001E-3</v>
      </c>
      <c r="J71" s="48">
        <v>-0.1328</v>
      </c>
      <c r="K71" s="71">
        <v>957</v>
      </c>
    </row>
    <row r="72" spans="1:11" x14ac:dyDescent="0.35">
      <c r="A72" s="67">
        <v>43862</v>
      </c>
      <c r="B72" s="68">
        <v>0.4</v>
      </c>
      <c r="C72" s="68">
        <f>[1]CPI!D72</f>
        <v>6.5761258041458106</v>
      </c>
      <c r="D72" s="68">
        <v>5.1499999999999995</v>
      </c>
      <c r="E72" s="68">
        <v>23.234999999999999</v>
      </c>
      <c r="F72" s="68">
        <v>33.78</v>
      </c>
      <c r="G72" s="69">
        <f>Assets!I72/Assets!B72</f>
        <v>3.3857937911068001</v>
      </c>
      <c r="H72" s="70">
        <v>25.5</v>
      </c>
      <c r="I72" s="48">
        <v>1.3899999999999999E-2</v>
      </c>
      <c r="J72" s="48">
        <v>-0.1227</v>
      </c>
      <c r="K72" s="71">
        <v>8970</v>
      </c>
    </row>
    <row r="73" spans="1:11" x14ac:dyDescent="0.35">
      <c r="A73" s="67">
        <v>43891</v>
      </c>
      <c r="B73" s="68">
        <v>0.4</v>
      </c>
      <c r="C73" s="68">
        <f>[1]CPI!D73</f>
        <v>5.8404558404558315</v>
      </c>
      <c r="D73" s="68">
        <v>4.3999999999999995</v>
      </c>
      <c r="E73" s="68">
        <v>64.407499999999999</v>
      </c>
      <c r="F73" s="68">
        <v>177.2</v>
      </c>
      <c r="G73" s="69">
        <f>Assets!I73/Assets!B73</f>
        <v>4.5203442339940239</v>
      </c>
      <c r="H73" s="70">
        <v>19.399999999999999</v>
      </c>
      <c r="I73" s="48">
        <v>3.8600000000000002E-2</v>
      </c>
      <c r="J73" s="48">
        <v>-0.46949999999999997</v>
      </c>
      <c r="K73" s="71">
        <v>-118203</v>
      </c>
    </row>
    <row r="74" spans="1:11" x14ac:dyDescent="0.35">
      <c r="A74" s="67">
        <v>43922</v>
      </c>
      <c r="B74" s="68">
        <v>1.6</v>
      </c>
      <c r="C74" s="68">
        <f>[1]CPI!D74</f>
        <v>7.223796033994347</v>
      </c>
      <c r="D74" s="68">
        <v>4.3999999999999995</v>
      </c>
      <c r="E74" s="68">
        <v>33.987499999999997</v>
      </c>
      <c r="F74" s="68">
        <v>-47.23</v>
      </c>
      <c r="G74" s="69">
        <f>Assets!I74/Assets!B74</f>
        <v>4.2027368138994188</v>
      </c>
      <c r="H74" s="70">
        <v>22.4</v>
      </c>
      <c r="I74" s="48">
        <v>-3.3999999999999998E-3</v>
      </c>
      <c r="J74" s="48">
        <v>4.8999999999999998E-3</v>
      </c>
      <c r="K74" s="71">
        <v>-14859</v>
      </c>
    </row>
    <row r="75" spans="1:11" x14ac:dyDescent="0.35">
      <c r="A75" s="67">
        <v>43952</v>
      </c>
      <c r="B75" s="68">
        <v>1.6</v>
      </c>
      <c r="C75" s="68">
        <f>[1]CPI!D75</f>
        <v>6.2676056338028214</v>
      </c>
      <c r="D75" s="68">
        <v>4</v>
      </c>
      <c r="E75" s="68">
        <v>30.22</v>
      </c>
      <c r="F75" s="68">
        <v>-11.08</v>
      </c>
      <c r="G75" s="69">
        <f>Assets!I75/Assets!B75</f>
        <v>4.3775255578616648</v>
      </c>
      <c r="H75" s="70">
        <v>22.4</v>
      </c>
      <c r="I75" s="48">
        <v>6.7999999999999996E-3</v>
      </c>
      <c r="J75" s="48">
        <v>0.42899999999999999</v>
      </c>
      <c r="K75" s="71">
        <v>-7356</v>
      </c>
    </row>
    <row r="76" spans="1:11" x14ac:dyDescent="0.35">
      <c r="A76" s="67">
        <v>43983</v>
      </c>
      <c r="B76" s="68">
        <v>1.6</v>
      </c>
      <c r="C76" s="68">
        <f>[1]CPI!D76</f>
        <v>6.2281315605318444</v>
      </c>
      <c r="D76" s="68">
        <v>4</v>
      </c>
      <c r="E76" s="68">
        <v>29.1175</v>
      </c>
      <c r="F76" s="68">
        <v>-3.65</v>
      </c>
      <c r="G76" s="69">
        <f>Assets!I76/Assets!B76</f>
        <v>4.1743315926339513</v>
      </c>
      <c r="H76" s="70">
        <v>26.3</v>
      </c>
      <c r="I76" s="48">
        <v>-6.9999999999999999E-4</v>
      </c>
      <c r="J76" s="48">
        <v>9.06E-2</v>
      </c>
      <c r="K76" s="71">
        <v>26009</v>
      </c>
    </row>
    <row r="77" spans="1:11" x14ac:dyDescent="0.35">
      <c r="A77" s="67">
        <v>44013</v>
      </c>
      <c r="B77" s="68">
        <v>20.100000000000001</v>
      </c>
      <c r="C77" s="68">
        <f>[1]CPI!D77</f>
        <v>6.7267683772538263</v>
      </c>
      <c r="D77" s="68">
        <v>4</v>
      </c>
      <c r="E77" s="68">
        <v>24.192499999999999</v>
      </c>
      <c r="F77" s="68">
        <v>-16.91</v>
      </c>
      <c r="G77" s="69">
        <f>Assets!I77/Assets!B77</f>
        <v>4.2886321920123756</v>
      </c>
      <c r="H77" s="70">
        <v>30.2</v>
      </c>
      <c r="I77" s="48">
        <v>-8.3000000000000001E-3</v>
      </c>
      <c r="J77" s="48">
        <v>5.45E-2</v>
      </c>
      <c r="K77" s="71">
        <v>3301</v>
      </c>
    </row>
    <row r="78" spans="1:11" x14ac:dyDescent="0.35">
      <c r="A78" s="67">
        <v>44044</v>
      </c>
      <c r="B78" s="68">
        <v>20.100000000000001</v>
      </c>
      <c r="C78" s="68">
        <f>[1]CPI!D78</f>
        <v>6.6896551724137856</v>
      </c>
      <c r="D78" s="68">
        <v>4</v>
      </c>
      <c r="E78" s="68">
        <v>22.835000000000001</v>
      </c>
      <c r="F78" s="68">
        <v>-5.61</v>
      </c>
      <c r="G78" s="69">
        <f>Assets!I78/Assets!B78</f>
        <v>4.0753989711451144</v>
      </c>
      <c r="H78" s="70">
        <v>32.299999999999997</v>
      </c>
      <c r="I78" s="48">
        <v>-2.2200000000000001E-2</v>
      </c>
      <c r="J78" s="48">
        <v>4.9200000000000001E-2</v>
      </c>
      <c r="K78" s="71">
        <v>49879</v>
      </c>
    </row>
    <row r="79" spans="1:11" x14ac:dyDescent="0.35">
      <c r="A79" s="67">
        <v>44075</v>
      </c>
      <c r="B79" s="68">
        <v>20.100000000000001</v>
      </c>
      <c r="C79" s="68">
        <f>[1]CPI!D79</f>
        <v>7.2702331961591176</v>
      </c>
      <c r="D79" s="68">
        <v>4</v>
      </c>
      <c r="E79" s="68">
        <v>19.53</v>
      </c>
      <c r="F79" s="68">
        <v>-14.47</v>
      </c>
      <c r="G79" s="69">
        <f>Assets!I79/Assets!B79</f>
        <v>3.9822779610505457</v>
      </c>
      <c r="H79" s="70">
        <v>32.700000000000003</v>
      </c>
      <c r="I79" s="48">
        <v>4.1999999999999997E-3</v>
      </c>
      <c r="J79" s="48">
        <v>-7.3599999999999999E-2</v>
      </c>
      <c r="K79" s="71">
        <v>-1196</v>
      </c>
    </row>
    <row r="80" spans="1:11" x14ac:dyDescent="0.35">
      <c r="A80" s="67">
        <v>44105</v>
      </c>
      <c r="B80" s="68">
        <v>8.4</v>
      </c>
      <c r="C80" s="68">
        <f>[1]CPI!D80</f>
        <v>7.6086956521739246</v>
      </c>
      <c r="D80" s="68">
        <v>4</v>
      </c>
      <c r="E80" s="68">
        <v>24.752500000000001</v>
      </c>
      <c r="F80" s="68">
        <v>26.74</v>
      </c>
      <c r="G80" s="69">
        <f>Assets!I80/Assets!B80</f>
        <v>3.8703827822989885</v>
      </c>
      <c r="H80" s="70">
        <v>31.9</v>
      </c>
      <c r="I80" s="48">
        <v>1.35E-2</v>
      </c>
      <c r="J80" s="48">
        <v>-0.1031</v>
      </c>
      <c r="K80" s="71">
        <v>21826</v>
      </c>
    </row>
    <row r="81" spans="1:11" x14ac:dyDescent="0.35">
      <c r="A81" s="67">
        <v>44136</v>
      </c>
      <c r="B81" s="68">
        <v>8.4</v>
      </c>
      <c r="C81" s="68">
        <f>[1]CPI!D81</f>
        <v>6.9313593539703984</v>
      </c>
      <c r="D81" s="68">
        <v>4</v>
      </c>
      <c r="E81" s="68">
        <v>19.817499999999999</v>
      </c>
      <c r="F81" s="68">
        <v>-19.940000000000001</v>
      </c>
      <c r="G81" s="69">
        <f>Assets!I81/Assets!B81</f>
        <v>3.2647113759303181</v>
      </c>
      <c r="H81" s="70">
        <v>35.700000000000003</v>
      </c>
      <c r="I81" s="48">
        <v>-7.6E-3</v>
      </c>
      <c r="J81" s="48">
        <v>0.26200000000000001</v>
      </c>
      <c r="K81" s="71">
        <v>62782</v>
      </c>
    </row>
    <row r="82" spans="1:11" x14ac:dyDescent="0.35">
      <c r="A82" s="67">
        <v>44166</v>
      </c>
      <c r="B82" s="68">
        <v>8.4</v>
      </c>
      <c r="C82" s="68">
        <f>[1]CPI!D82</f>
        <v>4.5877659574468117</v>
      </c>
      <c r="D82" s="68">
        <v>4</v>
      </c>
      <c r="E82" s="68">
        <v>21.094999999999999</v>
      </c>
      <c r="F82" s="68">
        <v>6.45</v>
      </c>
      <c r="G82" s="69">
        <f>Assets!I82/Assets!B82</f>
        <v>3.1827191499296292</v>
      </c>
      <c r="H82" s="70">
        <v>38.5</v>
      </c>
      <c r="I82" s="48">
        <v>-1.29E-2</v>
      </c>
      <c r="J82" s="48">
        <v>8.2299999999999998E-2</v>
      </c>
      <c r="K82" s="71">
        <v>71046</v>
      </c>
    </row>
    <row r="83" spans="1:11" x14ac:dyDescent="0.35">
      <c r="A83" s="67">
        <v>44197</v>
      </c>
      <c r="B83" s="68">
        <v>5.4</v>
      </c>
      <c r="C83" s="68">
        <f>[1]CPI!D83</f>
        <v>4.0612516644474193</v>
      </c>
      <c r="D83" s="68">
        <v>4</v>
      </c>
      <c r="E83" s="68">
        <v>25.342500000000001</v>
      </c>
      <c r="F83" s="68">
        <v>20.14</v>
      </c>
      <c r="G83" s="69">
        <f>Assets!I83/Assets!B83</f>
        <v>3.1786310372528415</v>
      </c>
      <c r="H83" s="70">
        <v>36.6</v>
      </c>
      <c r="I83" s="48">
        <v>-2.2000000000000001E-3</v>
      </c>
      <c r="J83" s="48">
        <v>6.2100000000000002E-2</v>
      </c>
      <c r="K83" s="71">
        <v>14631</v>
      </c>
    </row>
    <row r="84" spans="1:11" x14ac:dyDescent="0.35">
      <c r="A84" s="67">
        <v>44228</v>
      </c>
      <c r="B84" s="68">
        <v>5.4</v>
      </c>
      <c r="C84" s="68">
        <f>[1]CPI!D84</f>
        <v>5.0301810865191152</v>
      </c>
      <c r="D84" s="68">
        <v>4</v>
      </c>
      <c r="E84" s="68">
        <v>28.142499999999998</v>
      </c>
      <c r="F84" s="68">
        <v>11.05</v>
      </c>
      <c r="G84" s="69">
        <f>Assets!I84/Assets!B84</f>
        <v>2.8278556887002884</v>
      </c>
      <c r="H84" s="70">
        <v>39.700000000000003</v>
      </c>
      <c r="I84" s="48">
        <v>1.43E-2</v>
      </c>
      <c r="J84" s="48">
        <v>0.1704</v>
      </c>
      <c r="K84" s="71">
        <v>24013</v>
      </c>
    </row>
    <row r="85" spans="1:11" x14ac:dyDescent="0.35">
      <c r="A85" s="67">
        <v>44256</v>
      </c>
      <c r="B85" s="68">
        <v>5.4</v>
      </c>
      <c r="C85" s="68">
        <f>[1]CPI!D85</f>
        <v>5.5181695827725559</v>
      </c>
      <c r="D85" s="68">
        <v>4</v>
      </c>
      <c r="E85" s="68">
        <v>20.645</v>
      </c>
      <c r="F85" s="68">
        <v>-26.64</v>
      </c>
      <c r="G85" s="69">
        <f>Assets!I85/Assets!B85</f>
        <v>2.7454294384487223</v>
      </c>
      <c r="H85" s="70">
        <v>33.200000000000003</v>
      </c>
      <c r="I85" s="48">
        <v>-1.06E-2</v>
      </c>
      <c r="J85" s="48">
        <v>-2.6100000000000002E-2</v>
      </c>
      <c r="K85" s="71">
        <v>17023</v>
      </c>
    </row>
    <row r="86" spans="1:11" x14ac:dyDescent="0.35">
      <c r="A86" s="67">
        <v>44287</v>
      </c>
      <c r="B86" s="68">
        <v>4.0999999999999996</v>
      </c>
      <c r="C86" s="68">
        <f>[1]CPI!D86</f>
        <v>4.2272126816380489</v>
      </c>
      <c r="D86" s="68">
        <v>4</v>
      </c>
      <c r="E86" s="68">
        <v>23.0275</v>
      </c>
      <c r="F86" s="68">
        <v>11.54</v>
      </c>
      <c r="G86" s="69">
        <f>Assets!I86/Assets!B86</f>
        <v>2.8763874439659114</v>
      </c>
      <c r="H86" s="70">
        <v>32.200000000000003</v>
      </c>
      <c r="I86" s="48">
        <v>1.2500000000000001E-2</v>
      </c>
      <c r="J86" s="48">
        <v>6.4100000000000004E-2</v>
      </c>
      <c r="K86" s="71">
        <v>-8836</v>
      </c>
    </row>
    <row r="87" spans="1:11" x14ac:dyDescent="0.35">
      <c r="A87" s="67">
        <v>44317</v>
      </c>
      <c r="B87" s="68">
        <v>4.0999999999999996</v>
      </c>
      <c r="C87" s="68">
        <f>[1]CPI!D87</f>
        <v>6.2955599734923791</v>
      </c>
      <c r="D87" s="68">
        <v>4</v>
      </c>
      <c r="E87" s="68">
        <v>16.885000000000002</v>
      </c>
      <c r="F87" s="68">
        <v>-26.67</v>
      </c>
      <c r="G87" s="69">
        <f>Assets!I87/Assets!B87</f>
        <v>2.8496061418260608</v>
      </c>
      <c r="H87" s="70">
        <v>29.2</v>
      </c>
      <c r="I87" s="48">
        <v>-2.0799999999999999E-2</v>
      </c>
      <c r="J87" s="48">
        <v>3.2800000000000003E-2</v>
      </c>
      <c r="K87" s="71">
        <v>-1958</v>
      </c>
    </row>
    <row r="88" spans="1:11" x14ac:dyDescent="0.35">
      <c r="A88" s="67">
        <v>44348</v>
      </c>
      <c r="B88" s="68">
        <v>4.0999999999999996</v>
      </c>
      <c r="C88" s="68">
        <f>[1]CPI!D88</f>
        <v>6.2582345191040831</v>
      </c>
      <c r="D88" s="68">
        <v>4</v>
      </c>
      <c r="E88" s="68">
        <v>13.045</v>
      </c>
      <c r="F88" s="68">
        <v>-22.74</v>
      </c>
      <c r="G88" s="69">
        <f>Assets!I88/Assets!B88</f>
        <v>2.6940261739101086</v>
      </c>
      <c r="H88" s="70">
        <v>28.3</v>
      </c>
      <c r="I88" s="48">
        <v>2.5499999999999998E-2</v>
      </c>
      <c r="J88" s="48">
        <v>8.2199999999999995E-2</v>
      </c>
      <c r="K88" s="71">
        <v>12974</v>
      </c>
    </row>
    <row r="89" spans="1:11" x14ac:dyDescent="0.35">
      <c r="A89" s="67">
        <v>44378</v>
      </c>
      <c r="B89" s="68">
        <v>13.5</v>
      </c>
      <c r="C89" s="68">
        <f>[1]CPI!D89</f>
        <v>5.5880441845354092</v>
      </c>
      <c r="D89" s="68">
        <v>4</v>
      </c>
      <c r="E89" s="68">
        <v>12.8025</v>
      </c>
      <c r="F89" s="68">
        <v>-1.86</v>
      </c>
      <c r="G89" s="69">
        <f>Assets!I89/Assets!B89</f>
        <v>2.7505625569143448</v>
      </c>
      <c r="H89" s="70">
        <v>27</v>
      </c>
      <c r="I89" s="48">
        <v>-2.9999999999999997E-4</v>
      </c>
      <c r="J89" s="48">
        <v>1.06E-2</v>
      </c>
      <c r="K89" s="71">
        <v>-7410</v>
      </c>
    </row>
    <row r="90" spans="1:11" x14ac:dyDescent="0.35">
      <c r="A90" s="67">
        <v>44409</v>
      </c>
      <c r="B90" s="68">
        <v>13.5</v>
      </c>
      <c r="C90" s="68">
        <f>[1]CPI!D90</f>
        <v>5.3005817711700178</v>
      </c>
      <c r="D90" s="68">
        <v>4</v>
      </c>
      <c r="E90" s="68">
        <v>14.52</v>
      </c>
      <c r="F90" s="68">
        <v>13.42</v>
      </c>
      <c r="G90" s="69">
        <f>Assets!I90/Assets!B90</f>
        <v>2.4857248277971751</v>
      </c>
      <c r="H90" s="70">
        <v>26.3</v>
      </c>
      <c r="I90" s="48">
        <v>-1.8700000000000001E-2</v>
      </c>
      <c r="J90" s="48">
        <v>-5.0099999999999999E-2</v>
      </c>
      <c r="K90" s="71">
        <v>16556</v>
      </c>
    </row>
    <row r="91" spans="1:11" x14ac:dyDescent="0.35">
      <c r="A91" s="67">
        <v>44440</v>
      </c>
      <c r="B91" s="68">
        <v>13.5</v>
      </c>
      <c r="C91" s="68">
        <f>[1]CPI!D91</f>
        <v>4.3478260869565108</v>
      </c>
      <c r="D91" s="68">
        <v>4</v>
      </c>
      <c r="E91" s="68">
        <v>18.4025</v>
      </c>
      <c r="F91" s="68">
        <v>26.74</v>
      </c>
      <c r="G91" s="69">
        <f>Assets!I91/Assets!B91</f>
        <v>2.3774494546180169</v>
      </c>
      <c r="H91" s="70">
        <v>27</v>
      </c>
      <c r="I91" s="48">
        <v>1.67E-2</v>
      </c>
      <c r="J91" s="48">
        <v>9.3299999999999994E-2</v>
      </c>
      <c r="K91" s="71">
        <v>27756</v>
      </c>
    </row>
    <row r="92" spans="1:11" x14ac:dyDescent="0.35">
      <c r="A92" s="67">
        <v>44470</v>
      </c>
      <c r="B92" s="68">
        <v>6.3</v>
      </c>
      <c r="C92" s="68">
        <f>[1]CPI!D92</f>
        <v>4.4823232323232283</v>
      </c>
      <c r="D92" s="68">
        <v>4</v>
      </c>
      <c r="E92" s="68">
        <v>17.425000000000001</v>
      </c>
      <c r="F92" s="68">
        <v>-5.31</v>
      </c>
      <c r="G92" s="69">
        <f>Assets!I92/Assets!B92</f>
        <v>2.4313804820120093</v>
      </c>
      <c r="H92" s="70">
        <v>25.7</v>
      </c>
      <c r="I92" s="48">
        <v>1.01E-2</v>
      </c>
      <c r="J92" s="48">
        <v>6.9099999999999995E-2</v>
      </c>
      <c r="K92" s="71">
        <v>-12437</v>
      </c>
    </row>
    <row r="93" spans="1:11" x14ac:dyDescent="0.35">
      <c r="A93" s="67">
        <v>44501</v>
      </c>
      <c r="B93" s="68">
        <v>6.3</v>
      </c>
      <c r="C93" s="68">
        <f>[1]CPI!D93</f>
        <v>4.9087476400251617</v>
      </c>
      <c r="D93" s="68">
        <v>4</v>
      </c>
      <c r="E93" s="68">
        <v>21.1675</v>
      </c>
      <c r="F93" s="68">
        <v>21.48</v>
      </c>
      <c r="G93" s="69">
        <f>Assets!I93/Assets!B93</f>
        <v>2.5245077984898869</v>
      </c>
      <c r="H93" s="70">
        <v>23.4</v>
      </c>
      <c r="I93" s="48">
        <v>2.3E-3</v>
      </c>
      <c r="J93" s="48">
        <v>-0.1731</v>
      </c>
      <c r="K93" s="71">
        <v>-2521</v>
      </c>
    </row>
    <row r="94" spans="1:11" x14ac:dyDescent="0.35">
      <c r="A94" s="67">
        <v>44531</v>
      </c>
      <c r="B94" s="68">
        <v>6.3</v>
      </c>
      <c r="C94" s="68">
        <f>[1]CPI!D94</f>
        <v>5.6579783852510976</v>
      </c>
      <c r="D94" s="68">
        <v>4</v>
      </c>
      <c r="E94" s="68">
        <v>16.2225</v>
      </c>
      <c r="F94" s="68">
        <v>-23.36</v>
      </c>
      <c r="G94" s="69">
        <f>Assets!I94/Assets!B94</f>
        <v>2.5227398485229209</v>
      </c>
      <c r="H94" s="70">
        <v>24.1</v>
      </c>
      <c r="I94" s="48">
        <v>-8.3000000000000001E-3</v>
      </c>
      <c r="J94" s="48">
        <v>0.1173</v>
      </c>
      <c r="K94" s="71">
        <v>-29702</v>
      </c>
    </row>
    <row r="95" spans="1:11" x14ac:dyDescent="0.35">
      <c r="A95" s="67">
        <v>44562</v>
      </c>
      <c r="B95" s="68">
        <v>4.4000000000000004</v>
      </c>
      <c r="C95" s="68">
        <f>[1]CPI!D95</f>
        <v>6.0140754958413156</v>
      </c>
      <c r="D95" s="68">
        <v>4</v>
      </c>
      <c r="E95" s="68">
        <v>21.952500000000001</v>
      </c>
      <c r="F95" s="68">
        <v>35.32</v>
      </c>
      <c r="G95" s="69">
        <f>Assets!I95/Assets!B95</f>
        <v>2.4820243896175866</v>
      </c>
      <c r="H95" s="70">
        <v>23.4</v>
      </c>
      <c r="I95" s="48">
        <v>8.0000000000000004E-4</v>
      </c>
      <c r="J95" s="48">
        <v>0.154</v>
      </c>
      <c r="K95" s="71">
        <v>-28526</v>
      </c>
    </row>
    <row r="96" spans="1:11" x14ac:dyDescent="0.35">
      <c r="A96" s="67">
        <v>44593</v>
      </c>
      <c r="B96" s="68">
        <v>4.4000000000000004</v>
      </c>
      <c r="C96" s="68">
        <f>[1]CPI!D96</f>
        <v>6.0664112388250322</v>
      </c>
      <c r="D96" s="68">
        <v>4</v>
      </c>
      <c r="E96" s="68">
        <v>28.57</v>
      </c>
      <c r="F96" s="68">
        <v>30.14</v>
      </c>
      <c r="G96" s="69">
        <f>Assets!I96/Assets!B96</f>
        <v>2.7470048998238985</v>
      </c>
      <c r="H96" s="70">
        <v>21.6</v>
      </c>
      <c r="I96" s="48">
        <v>1.29E-2</v>
      </c>
      <c r="J96" s="48">
        <v>9.7600000000000006E-2</v>
      </c>
      <c r="K96" s="71">
        <v>-38068</v>
      </c>
    </row>
    <row r="97" spans="1:11" x14ac:dyDescent="0.35">
      <c r="A97" s="67">
        <v>44621</v>
      </c>
      <c r="B97" s="68">
        <v>4.4000000000000004</v>
      </c>
      <c r="C97" s="68">
        <f>[1]CPI!D97</f>
        <v>6.9515306122448823</v>
      </c>
      <c r="D97" s="68">
        <v>4</v>
      </c>
      <c r="E97" s="68">
        <v>20.56</v>
      </c>
      <c r="F97" s="68">
        <v>-28.04</v>
      </c>
      <c r="G97" s="69">
        <f>Assets!I97/Assets!B97</f>
        <v>2.7288961006230661</v>
      </c>
      <c r="H97" s="70">
        <v>22.9</v>
      </c>
      <c r="I97" s="48">
        <v>5.4000000000000003E-3</v>
      </c>
      <c r="J97" s="48">
        <v>6.88E-2</v>
      </c>
      <c r="K97" s="71">
        <v>-50068</v>
      </c>
    </row>
    <row r="98" spans="1:11" x14ac:dyDescent="0.35">
      <c r="A98" s="67">
        <v>44652</v>
      </c>
      <c r="B98" s="68">
        <v>6.1</v>
      </c>
      <c r="C98" s="68">
        <f>[1]CPI!D98</f>
        <v>7.7946768060836389</v>
      </c>
      <c r="D98" s="68">
        <v>4</v>
      </c>
      <c r="E98" s="68">
        <v>19.414999999999999</v>
      </c>
      <c r="F98" s="68">
        <v>-5.57</v>
      </c>
      <c r="G98" s="69">
        <f>Assets!I98/Assets!B98</f>
        <v>2.749948565021612</v>
      </c>
      <c r="H98" s="70">
        <v>22</v>
      </c>
      <c r="I98" s="48">
        <v>8.2000000000000007E-3</v>
      </c>
      <c r="J98" s="48">
        <v>2.3199999999999998E-2</v>
      </c>
      <c r="K98" s="71">
        <v>-22688</v>
      </c>
    </row>
    <row r="99" spans="1:11" x14ac:dyDescent="0.35">
      <c r="A99" s="67">
        <v>44682</v>
      </c>
      <c r="B99" s="68">
        <v>6.1</v>
      </c>
      <c r="C99" s="68">
        <f>[1]CPI!D99</f>
        <v>7.044887780548617</v>
      </c>
      <c r="D99" s="68">
        <v>4.3999999999999995</v>
      </c>
      <c r="E99" s="68">
        <v>20.477499999999999</v>
      </c>
      <c r="F99" s="68">
        <v>5.47</v>
      </c>
      <c r="G99" s="69">
        <f>Assets!I99/Assets!B99</f>
        <v>2.7778146566307966</v>
      </c>
      <c r="H99" s="70">
        <v>20.399999999999999</v>
      </c>
      <c r="I99" s="48">
        <v>1.37E-2</v>
      </c>
      <c r="J99" s="48">
        <v>7.9000000000000001E-2</v>
      </c>
      <c r="K99" s="71">
        <v>-36518</v>
      </c>
    </row>
    <row r="100" spans="1:11" x14ac:dyDescent="0.35">
      <c r="A100" s="67">
        <v>44713</v>
      </c>
      <c r="B100" s="68">
        <v>6.1</v>
      </c>
      <c r="C100" s="68">
        <f>[1]CPI!D100</f>
        <v>7.0055796652200755</v>
      </c>
      <c r="D100" s="68">
        <v>4.9000000000000004</v>
      </c>
      <c r="E100" s="68">
        <v>21.84</v>
      </c>
      <c r="F100" s="68">
        <v>6.65</v>
      </c>
      <c r="G100" s="69">
        <f>Assets!I100/Assets!B100</f>
        <v>2.9234216910541679</v>
      </c>
      <c r="H100" s="70">
        <v>19.5</v>
      </c>
      <c r="I100" s="48">
        <v>1.78E-2</v>
      </c>
      <c r="J100" s="48">
        <v>-5.6800000000000003E-2</v>
      </c>
      <c r="K100" s="71">
        <v>-51422</v>
      </c>
    </row>
    <row r="101" spans="1:11" x14ac:dyDescent="0.35">
      <c r="A101" s="67">
        <v>44743</v>
      </c>
      <c r="B101" s="68">
        <v>7.8</v>
      </c>
      <c r="C101" s="68">
        <f>[1]CPI!D101</f>
        <v>6.7076923076923114</v>
      </c>
      <c r="D101" s="68">
        <v>4.9000000000000004</v>
      </c>
      <c r="E101" s="68">
        <v>16.55</v>
      </c>
      <c r="F101" s="68">
        <v>-24.22</v>
      </c>
      <c r="G101" s="69">
        <f>Assets!I101/Assets!B101</f>
        <v>2.625938066772469</v>
      </c>
      <c r="H101" s="70">
        <v>20.7</v>
      </c>
      <c r="I101" s="48">
        <v>4.8999999999999998E-3</v>
      </c>
      <c r="J101" s="48">
        <v>-4.6399999999999997E-2</v>
      </c>
      <c r="K101" s="71">
        <v>1971</v>
      </c>
    </row>
    <row r="102" spans="1:11" x14ac:dyDescent="0.35">
      <c r="A102" s="67">
        <v>44774</v>
      </c>
      <c r="B102" s="68">
        <v>7.8</v>
      </c>
      <c r="C102" s="68">
        <f>[1]CPI!D102</f>
        <v>6.9981583793738515</v>
      </c>
      <c r="D102" s="68">
        <v>5.4</v>
      </c>
      <c r="E102" s="68">
        <v>18.7</v>
      </c>
      <c r="F102" s="68">
        <v>12.99</v>
      </c>
      <c r="G102" s="69">
        <f>Assets!I102/Assets!B102</f>
        <v>2.4587715159657537</v>
      </c>
      <c r="H102" s="70">
        <v>21.2</v>
      </c>
      <c r="I102" s="48">
        <v>2E-3</v>
      </c>
      <c r="J102" s="48">
        <v>-8.0100000000000005E-2</v>
      </c>
      <c r="K102" s="71">
        <v>56521</v>
      </c>
    </row>
    <row r="103" spans="1:11" x14ac:dyDescent="0.35">
      <c r="A103" s="67">
        <v>44805</v>
      </c>
      <c r="B103" s="68">
        <v>7.8</v>
      </c>
      <c r="C103" s="68">
        <f>[1]CPI!D103</f>
        <v>7.4142156862745239</v>
      </c>
      <c r="D103" s="68">
        <v>5.8999999999999995</v>
      </c>
      <c r="E103" s="68">
        <v>19.967500000000001</v>
      </c>
      <c r="F103" s="68">
        <v>6.78</v>
      </c>
      <c r="G103" s="69">
        <f>Assets!I103/Assets!B103</f>
        <v>2.5461381656013238</v>
      </c>
      <c r="H103" s="70">
        <v>20.6</v>
      </c>
      <c r="I103" s="48">
        <v>2.5399999999999999E-2</v>
      </c>
      <c r="J103" s="48">
        <v>-0.10979999999999999</v>
      </c>
      <c r="K103" s="71">
        <v>-3955</v>
      </c>
    </row>
    <row r="104" spans="1:11" x14ac:dyDescent="0.35">
      <c r="A104" s="67">
        <v>44835</v>
      </c>
      <c r="B104" s="68">
        <v>7.6</v>
      </c>
      <c r="C104" s="68">
        <f>[1]CPI!D104</f>
        <v>6.7673716012084526</v>
      </c>
      <c r="D104" s="68">
        <v>5.8999999999999995</v>
      </c>
      <c r="E104" s="68">
        <v>15.8025</v>
      </c>
      <c r="F104" s="68">
        <v>-20.86</v>
      </c>
      <c r="G104" s="69">
        <f>Assets!I104/Assets!B104</f>
        <v>2.4116717599171014</v>
      </c>
      <c r="H104" s="70">
        <v>21.4</v>
      </c>
      <c r="I104" s="48">
        <v>1.55E-2</v>
      </c>
      <c r="J104" s="48">
        <v>9.01E-2</v>
      </c>
      <c r="K104" s="71">
        <v>-3080</v>
      </c>
    </row>
    <row r="105" spans="1:11" x14ac:dyDescent="0.35">
      <c r="A105" s="67">
        <v>44866</v>
      </c>
      <c r="B105" s="68">
        <v>7.6</v>
      </c>
      <c r="C105" s="68">
        <f>[1]CPI!D105</f>
        <v>5.8788242351529769</v>
      </c>
      <c r="D105" s="68">
        <v>5.8999999999999995</v>
      </c>
      <c r="E105" s="68">
        <v>13.807499999999999</v>
      </c>
      <c r="F105" s="68">
        <v>-12.62</v>
      </c>
      <c r="G105" s="69">
        <f>Assets!I105/Assets!B105</f>
        <v>2.4662311651259459</v>
      </c>
      <c r="H105" s="70">
        <v>22.5</v>
      </c>
      <c r="I105" s="48">
        <v>-1.7000000000000001E-2</v>
      </c>
      <c r="J105" s="48">
        <v>-6.2899999999999998E-2</v>
      </c>
      <c r="K105" s="71">
        <v>33847</v>
      </c>
    </row>
    <row r="106" spans="1:11" x14ac:dyDescent="0.35">
      <c r="A106" s="67">
        <v>44896</v>
      </c>
      <c r="B106" s="68">
        <v>7.6</v>
      </c>
      <c r="C106" s="68">
        <f>[1]CPI!D106</f>
        <v>5.7160048134777384</v>
      </c>
      <c r="D106" s="68">
        <v>6.25</v>
      </c>
      <c r="E106" s="68">
        <v>14.8675</v>
      </c>
      <c r="F106" s="68">
        <v>7.68</v>
      </c>
      <c r="G106" s="69">
        <f>Assets!I106/Assets!B106</f>
        <v>2.6796668709128895</v>
      </c>
      <c r="H106" s="70">
        <v>21.8</v>
      </c>
      <c r="I106" s="48">
        <v>1.67E-2</v>
      </c>
      <c r="J106" s="48">
        <v>-1.52E-2</v>
      </c>
      <c r="K106" s="71">
        <v>9171</v>
      </c>
    </row>
    <row r="107" spans="1:11" x14ac:dyDescent="0.35">
      <c r="A107" s="67">
        <v>44927</v>
      </c>
      <c r="B107" s="68">
        <v>8.4</v>
      </c>
      <c r="C107" s="68">
        <f>[1]CPI!D107</f>
        <v>6.5178032589016377</v>
      </c>
      <c r="D107" s="68">
        <v>6.25</v>
      </c>
      <c r="E107" s="68">
        <v>16.875</v>
      </c>
      <c r="F107" s="68">
        <v>13.5</v>
      </c>
      <c r="G107" s="69">
        <f>Assets!I107/Assets!B107</f>
        <v>2.8688678861461749</v>
      </c>
      <c r="H107" s="70">
        <v>20.7</v>
      </c>
      <c r="I107" s="48">
        <v>-1.18E-2</v>
      </c>
      <c r="J107" s="48">
        <v>-2.2000000000000001E-3</v>
      </c>
      <c r="K107" s="71">
        <v>-26544</v>
      </c>
    </row>
    <row r="108" spans="1:11" x14ac:dyDescent="0.35">
      <c r="A108" s="67">
        <v>44958</v>
      </c>
      <c r="B108" s="68">
        <v>8.4</v>
      </c>
      <c r="C108" s="68">
        <f>[1]CPI!D108</f>
        <v>6.441902468392545</v>
      </c>
      <c r="D108" s="68">
        <v>6.5</v>
      </c>
      <c r="E108" s="68">
        <v>14.02</v>
      </c>
      <c r="F108" s="68">
        <v>-16.920000000000002</v>
      </c>
      <c r="G108" s="69">
        <f>Assets!I108/Assets!B108</f>
        <v>2.8048686845162791</v>
      </c>
      <c r="H108" s="70">
        <v>20.399999999999999</v>
      </c>
      <c r="I108" s="48">
        <v>1.0999999999999999E-2</v>
      </c>
      <c r="J108" s="48">
        <v>-2.35E-2</v>
      </c>
      <c r="K108" s="71">
        <v>-4139</v>
      </c>
    </row>
    <row r="109" spans="1:11" x14ac:dyDescent="0.35">
      <c r="A109" s="67">
        <v>44986</v>
      </c>
      <c r="B109" s="68">
        <v>8.4</v>
      </c>
      <c r="C109" s="68">
        <f>[1]CPI!D109</f>
        <v>5.6648777579010146</v>
      </c>
      <c r="D109" s="68">
        <v>6.5</v>
      </c>
      <c r="E109" s="68">
        <v>12.935</v>
      </c>
      <c r="F109" s="68">
        <v>-7.74</v>
      </c>
      <c r="G109" s="69">
        <f>Assets!I109/Assets!B109</f>
        <v>2.9969169821150832</v>
      </c>
      <c r="H109" s="70">
        <v>20.399999999999999</v>
      </c>
      <c r="I109" s="48">
        <v>-5.7999999999999996E-3</v>
      </c>
      <c r="J109" s="48">
        <v>-4.2700000000000002E-2</v>
      </c>
      <c r="K109" s="71">
        <v>5899</v>
      </c>
    </row>
    <row r="110" spans="1:11" x14ac:dyDescent="0.35">
      <c r="A110" s="67">
        <v>45017</v>
      </c>
      <c r="B110" s="68">
        <v>7.8</v>
      </c>
      <c r="C110" s="68">
        <f>[1]CPI!D110</f>
        <v>4.7031158142269254</v>
      </c>
      <c r="D110" s="68">
        <v>6.5</v>
      </c>
      <c r="E110" s="68">
        <v>10.9475</v>
      </c>
      <c r="F110" s="68">
        <v>-15.37</v>
      </c>
      <c r="G110" s="69">
        <f>Assets!I110/Assets!B110</f>
        <v>2.8951104032276795</v>
      </c>
      <c r="H110" s="70">
        <v>20.9</v>
      </c>
      <c r="I110" s="48">
        <v>-5.4000000000000003E-3</v>
      </c>
      <c r="J110" s="48">
        <v>5.4999999999999997E-3</v>
      </c>
      <c r="K110" s="71">
        <v>13545</v>
      </c>
    </row>
    <row r="111" spans="1:11" x14ac:dyDescent="0.35">
      <c r="A111" s="67">
        <v>45047</v>
      </c>
      <c r="B111" s="68">
        <v>7.8</v>
      </c>
      <c r="C111" s="68">
        <f>[1]CPI!D111</f>
        <v>4.3098427489807838</v>
      </c>
      <c r="D111" s="68">
        <v>6.5</v>
      </c>
      <c r="E111" s="68">
        <v>11.9725</v>
      </c>
      <c r="F111" s="68">
        <v>9.36</v>
      </c>
      <c r="G111" s="69">
        <f>Assets!I111/Assets!B111</f>
        <v>2.8185090266706236</v>
      </c>
      <c r="H111" s="70">
        <v>21.6</v>
      </c>
      <c r="I111" s="48">
        <v>1.17E-2</v>
      </c>
      <c r="J111" s="48">
        <v>-9.6199999999999994E-2</v>
      </c>
      <c r="K111" s="71">
        <v>48330</v>
      </c>
    </row>
    <row r="112" spans="1:11" x14ac:dyDescent="0.35">
      <c r="A112" s="67">
        <v>45078</v>
      </c>
      <c r="B112" s="68">
        <v>7.8</v>
      </c>
      <c r="C112" s="68">
        <f>[1]CPI!D112</f>
        <v>4.8667439165701074</v>
      </c>
      <c r="D112" s="68">
        <v>6.5</v>
      </c>
      <c r="E112" s="68">
        <v>10.8</v>
      </c>
      <c r="F112" s="68">
        <v>-9.7899999999999991</v>
      </c>
      <c r="G112" s="69">
        <f>Assets!I112/Assets!B112</f>
        <v>2.640199616911064</v>
      </c>
      <c r="H112" s="70">
        <v>22.4</v>
      </c>
      <c r="I112" s="48">
        <v>-7.1000000000000004E-3</v>
      </c>
      <c r="J112" s="48">
        <v>3.8699999999999998E-2</v>
      </c>
      <c r="K112" s="71">
        <v>56258</v>
      </c>
    </row>
    <row r="113" spans="1:11" x14ac:dyDescent="0.35">
      <c r="A113" s="67">
        <v>45108</v>
      </c>
      <c r="B113" s="68">
        <v>6.1</v>
      </c>
      <c r="C113" s="68">
        <f>[1]CPI!D113</f>
        <v>7.4394463667820094</v>
      </c>
      <c r="D113" s="68">
        <v>6.5</v>
      </c>
      <c r="E113" s="68">
        <v>10.4125</v>
      </c>
      <c r="F113" s="68">
        <v>-3.59</v>
      </c>
      <c r="G113" s="69">
        <f>Assets!I113/Assets!B113</f>
        <v>2.6292982218680234</v>
      </c>
      <c r="H113" s="70">
        <v>23</v>
      </c>
      <c r="I113" s="48">
        <v>1.8E-3</v>
      </c>
      <c r="J113" s="48">
        <v>0.13289999999999999</v>
      </c>
      <c r="K113" s="71">
        <v>47977</v>
      </c>
    </row>
    <row r="114" spans="1:11" x14ac:dyDescent="0.35">
      <c r="A114" s="67">
        <v>45139</v>
      </c>
      <c r="B114" s="68">
        <v>6.1</v>
      </c>
      <c r="C114" s="68">
        <f>[1]CPI!D114</f>
        <v>6.8273092369477775</v>
      </c>
      <c r="D114" s="68">
        <v>6.5</v>
      </c>
      <c r="E114" s="68">
        <v>12.0625</v>
      </c>
      <c r="F114" s="68">
        <v>15.85</v>
      </c>
      <c r="G114" s="69">
        <f>Assets!I114/Assets!B114</f>
        <v>2.6788843539224891</v>
      </c>
      <c r="H114" s="70">
        <v>22</v>
      </c>
      <c r="I114" s="48">
        <v>5.5999999999999999E-3</v>
      </c>
      <c r="J114" s="48">
        <v>1.6400000000000001E-2</v>
      </c>
      <c r="K114" s="71">
        <v>18338</v>
      </c>
    </row>
    <row r="115" spans="1:11" x14ac:dyDescent="0.35">
      <c r="A115" s="67">
        <v>45170</v>
      </c>
      <c r="B115" s="68">
        <v>6.1</v>
      </c>
      <c r="C115" s="68">
        <f>[1]CPI!D115</f>
        <v>5.0199657729606288</v>
      </c>
      <c r="D115" s="68">
        <v>6.5</v>
      </c>
      <c r="E115" s="68">
        <v>11.452500000000001</v>
      </c>
      <c r="F115" s="68">
        <v>-5.0599999999999996</v>
      </c>
      <c r="G115" s="69">
        <f>Assets!I115/Assets!B115</f>
        <v>2.512690462984625</v>
      </c>
      <c r="H115" s="70">
        <v>22.2</v>
      </c>
      <c r="I115" s="48">
        <v>4.0000000000000001E-3</v>
      </c>
      <c r="J115" s="48">
        <v>6.1800000000000001E-2</v>
      </c>
      <c r="K115" s="71">
        <v>-13810</v>
      </c>
    </row>
    <row r="116" spans="1:11" x14ac:dyDescent="0.35">
      <c r="A116" s="67">
        <v>45200</v>
      </c>
      <c r="B116" s="68">
        <v>7.8</v>
      </c>
      <c r="C116" s="68">
        <f>[1]CPI!D116</f>
        <v>4.8670062252405337</v>
      </c>
      <c r="D116" s="68">
        <v>6.5</v>
      </c>
      <c r="E116" s="68">
        <v>11.824999999999999</v>
      </c>
      <c r="F116" s="68">
        <v>3.25</v>
      </c>
      <c r="G116" s="69">
        <f>Assets!I116/Assets!B116</f>
        <v>2.783433634844469</v>
      </c>
      <c r="H116" s="70">
        <v>20.5</v>
      </c>
      <c r="I116" s="48">
        <v>2.7000000000000001E-3</v>
      </c>
      <c r="J116" s="48">
        <v>-7.7899999999999997E-2</v>
      </c>
      <c r="K116" s="71">
        <v>-17875</v>
      </c>
    </row>
    <row r="117" spans="1:11" x14ac:dyDescent="0.35">
      <c r="A117" s="67">
        <v>45231</v>
      </c>
      <c r="B117" s="68">
        <v>7.8</v>
      </c>
      <c r="C117" s="68">
        <f>[1]CPI!D117</f>
        <v>5.552407932011338</v>
      </c>
      <c r="D117" s="68">
        <v>6.5</v>
      </c>
      <c r="E117" s="68">
        <v>12.69</v>
      </c>
      <c r="F117" s="68">
        <v>7.32</v>
      </c>
      <c r="G117" s="69">
        <f>Assets!I117/Assets!B117</f>
        <v>2.7220315831825639</v>
      </c>
      <c r="H117" s="70">
        <v>21.5</v>
      </c>
      <c r="I117" s="48">
        <v>1.1999999999999999E-3</v>
      </c>
      <c r="J117" s="48">
        <v>-4.8899999999999999E-2</v>
      </c>
      <c r="K117" s="71">
        <v>24546</v>
      </c>
    </row>
    <row r="118" spans="1:11" x14ac:dyDescent="0.35">
      <c r="A118" s="67">
        <v>45261</v>
      </c>
      <c r="B118" s="68">
        <v>7.8</v>
      </c>
      <c r="C118" s="68">
        <f>[1]CPI!D118</f>
        <v>5.6915196357427433</v>
      </c>
      <c r="D118" s="68">
        <v>6.5</v>
      </c>
      <c r="E118" s="68">
        <v>14.5025</v>
      </c>
      <c r="F118" s="68">
        <v>14.28</v>
      </c>
      <c r="G118" s="69">
        <f>Assets!I118/Assets!B118</f>
        <v>2.5389640000998579</v>
      </c>
      <c r="H118" s="70">
        <v>23.2</v>
      </c>
      <c r="I118" s="48">
        <v>-2E-3</v>
      </c>
      <c r="J118" s="48">
        <v>-4.7199999999999999E-2</v>
      </c>
      <c r="K118" s="71">
        <v>84537</v>
      </c>
    </row>
    <row r="119" spans="1:11" x14ac:dyDescent="0.35">
      <c r="A119" s="67">
        <v>45292</v>
      </c>
      <c r="B119" s="68">
        <v>7.8</v>
      </c>
      <c r="C119" s="68">
        <f>[1]CPI!D119</f>
        <v>5.0991501416430589</v>
      </c>
      <c r="D119" s="68">
        <v>6.5</v>
      </c>
      <c r="E119" s="68">
        <v>16.047499999999999</v>
      </c>
      <c r="F119" s="68">
        <v>10.65</v>
      </c>
      <c r="G119" s="69">
        <f>Assets!I119/Assets!B119</f>
        <v>2.5075004850945617</v>
      </c>
      <c r="H119" s="70">
        <v>22.5</v>
      </c>
      <c r="I119" s="48">
        <v>-1.1000000000000001E-3</v>
      </c>
      <c r="J119" s="48">
        <v>6.0600000000000001E-2</v>
      </c>
      <c r="K119" s="71">
        <v>-6593</v>
      </c>
    </row>
    <row r="120" spans="1:11" x14ac:dyDescent="0.35">
      <c r="A120" s="67">
        <v>45323</v>
      </c>
      <c r="B120" s="68">
        <v>7.8</v>
      </c>
      <c r="C120" s="68">
        <f>[1]CPI!D120</f>
        <v>5.0904977375565608</v>
      </c>
      <c r="D120" s="68">
        <v>6.5</v>
      </c>
      <c r="E120" s="68">
        <v>15.5725</v>
      </c>
      <c r="F120" s="68">
        <v>-2.96</v>
      </c>
      <c r="G120" s="69">
        <f>Assets!I120/Assets!B120</f>
        <v>2.4784812852304974</v>
      </c>
      <c r="H120" s="70">
        <v>22.7</v>
      </c>
      <c r="I120" s="48">
        <v>-2.3E-3</v>
      </c>
      <c r="J120" s="48">
        <v>2.3999999999999998E-3</v>
      </c>
      <c r="K120" s="71">
        <v>31817</v>
      </c>
    </row>
    <row r="121" spans="1:11" ht="15" thickBot="1" x14ac:dyDescent="0.4">
      <c r="A121" s="73">
        <v>45352</v>
      </c>
      <c r="B121" s="74">
        <v>7.8</v>
      </c>
      <c r="C121" s="74">
        <f>[1]CPI!D121</f>
        <v>4.8532731376975304</v>
      </c>
      <c r="D121" s="74">
        <v>6.5</v>
      </c>
      <c r="E121" s="74">
        <v>12.8325</v>
      </c>
      <c r="F121" s="74">
        <v>-17.600000000000001</v>
      </c>
      <c r="G121" s="69">
        <f>Assets!I121/Assets!B121</f>
        <v>2.6784064570331072</v>
      </c>
      <c r="H121" s="75">
        <v>22.9</v>
      </c>
      <c r="I121" s="76">
        <v>5.4000000000000003E-3</v>
      </c>
      <c r="J121" s="76">
        <v>6.2100000000000002E-2</v>
      </c>
      <c r="K121" s="77">
        <v>51996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F4A4A-A94B-41A6-857A-EAC13A7A07DF}">
  <dimension ref="A1:N121"/>
  <sheetViews>
    <sheetView tabSelected="1" topLeftCell="B1" workbookViewId="0">
      <selection activeCell="K1" sqref="K1:K1048576"/>
    </sheetView>
  </sheetViews>
  <sheetFormatPr defaultRowHeight="14.5" x14ac:dyDescent="0.35"/>
  <cols>
    <col min="1" max="1" width="13.1796875" style="57" customWidth="1"/>
    <col min="2" max="2" width="12.36328125" style="58" customWidth="1"/>
    <col min="3" max="3" width="11.81640625" style="22" customWidth="1"/>
    <col min="4" max="4" width="13.54296875" style="59" customWidth="1"/>
    <col min="5" max="5" width="12.81640625" style="22" customWidth="1"/>
    <col min="6" max="6" width="11.36328125" style="59" customWidth="1"/>
    <col min="7" max="7" width="12.81640625" style="22" customWidth="1"/>
    <col min="8" max="8" width="12.08984375" style="60" customWidth="1"/>
    <col min="9" max="9" width="18.26953125" style="61" customWidth="1"/>
    <col min="10" max="10" width="12.81640625" style="22" customWidth="1"/>
    <col min="11" max="11" width="11.26953125" style="26" customWidth="1"/>
    <col min="12" max="12" width="12.81640625" style="22" customWidth="1"/>
    <col min="13" max="13" width="10.90625" style="58" customWidth="1"/>
    <col min="14" max="14" width="12.81640625" style="22" customWidth="1"/>
    <col min="15" max="16384" width="8.7265625" style="22"/>
  </cols>
  <sheetData>
    <row r="1" spans="1:14" ht="15" thickBot="1" x14ac:dyDescent="0.4">
      <c r="A1" s="39" t="s">
        <v>0</v>
      </c>
      <c r="B1" s="40" t="s">
        <v>5</v>
      </c>
      <c r="C1" s="41" t="s">
        <v>11</v>
      </c>
      <c r="D1" s="42" t="s">
        <v>6</v>
      </c>
      <c r="E1" s="41" t="s">
        <v>34</v>
      </c>
      <c r="F1" s="42" t="s">
        <v>7</v>
      </c>
      <c r="G1" s="41" t="s">
        <v>35</v>
      </c>
      <c r="H1" s="43" t="s">
        <v>16</v>
      </c>
      <c r="I1" s="44" t="s">
        <v>17</v>
      </c>
      <c r="J1" s="41" t="s">
        <v>36</v>
      </c>
      <c r="K1" s="184" t="s">
        <v>9</v>
      </c>
      <c r="L1" s="41" t="s">
        <v>37</v>
      </c>
      <c r="M1" s="45" t="s">
        <v>10</v>
      </c>
      <c r="N1" s="46" t="s">
        <v>38</v>
      </c>
    </row>
    <row r="2" spans="1:14" x14ac:dyDescent="0.35">
      <c r="A2" s="38">
        <v>41730</v>
      </c>
      <c r="B2" s="47">
        <v>6696.4</v>
      </c>
      <c r="C2" s="48">
        <v>-1.1999999999999999E-3</v>
      </c>
      <c r="D2" s="49">
        <v>12855.85</v>
      </c>
      <c r="E2" s="48">
        <v>8.8999999999999999E-3</v>
      </c>
      <c r="F2" s="49">
        <v>9227.9500000000007</v>
      </c>
      <c r="G2" s="48">
        <v>-7.4999999999999997E-3</v>
      </c>
      <c r="H2" s="50">
        <v>1292</v>
      </c>
      <c r="I2" s="51">
        <f>(H2/31.1035)*10*M2</f>
        <v>25064.471844004693</v>
      </c>
      <c r="J2" s="52">
        <v>2.9000000000000001E-2</v>
      </c>
      <c r="K2" s="185">
        <v>8.8279999999999994</v>
      </c>
      <c r="L2" s="48">
        <v>2.7000000000000001E-3</v>
      </c>
      <c r="M2" s="53">
        <v>60.34</v>
      </c>
      <c r="N2" s="54">
        <v>5.5999999999999999E-3</v>
      </c>
    </row>
    <row r="3" spans="1:14" x14ac:dyDescent="0.35">
      <c r="A3" s="38">
        <v>41760</v>
      </c>
      <c r="B3" s="47">
        <v>7229.95</v>
      </c>
      <c r="C3" s="48">
        <v>7.9699999999999993E-2</v>
      </c>
      <c r="D3" s="49">
        <v>14793.4</v>
      </c>
      <c r="E3" s="48">
        <v>0.1507</v>
      </c>
      <c r="F3" s="49">
        <v>8970.2999999999993</v>
      </c>
      <c r="G3" s="48">
        <v>-2.7900000000000001E-2</v>
      </c>
      <c r="H3" s="55">
        <v>1254</v>
      </c>
      <c r="I3" s="51">
        <f t="shared" ref="I3:I66" si="0">(H3/31.1035)*10*M3</f>
        <v>23859.604224604951</v>
      </c>
      <c r="J3" s="48">
        <v>-0.10539999999999999</v>
      </c>
      <c r="K3" s="185">
        <v>8.6449999999999996</v>
      </c>
      <c r="L3" s="48">
        <v>-2.07E-2</v>
      </c>
      <c r="M3" s="47">
        <v>59.18</v>
      </c>
      <c r="N3" s="56">
        <v>-1.9199999999999998E-2</v>
      </c>
    </row>
    <row r="4" spans="1:14" x14ac:dyDescent="0.35">
      <c r="A4" s="38">
        <v>41791</v>
      </c>
      <c r="B4" s="47">
        <v>7611.35</v>
      </c>
      <c r="C4" s="48">
        <v>5.28E-2</v>
      </c>
      <c r="D4" s="49">
        <v>15241.9</v>
      </c>
      <c r="E4" s="48">
        <v>3.0300000000000001E-2</v>
      </c>
      <c r="F4" s="49">
        <v>9912.2999999999993</v>
      </c>
      <c r="G4" s="48">
        <v>0.105</v>
      </c>
      <c r="H4" s="55">
        <v>1313</v>
      </c>
      <c r="I4" s="51">
        <f t="shared" si="0"/>
        <v>25347.335508865563</v>
      </c>
      <c r="J4" s="48">
        <v>4.5999999999999999E-2</v>
      </c>
      <c r="K4" s="185">
        <v>8.7439999999999998</v>
      </c>
      <c r="L4" s="48">
        <v>1.15E-2</v>
      </c>
      <c r="M4" s="47">
        <v>60.045000000000002</v>
      </c>
      <c r="N4" s="56">
        <v>1.46E-2</v>
      </c>
    </row>
    <row r="5" spans="1:14" x14ac:dyDescent="0.35">
      <c r="A5" s="38">
        <v>41821</v>
      </c>
      <c r="B5" s="47">
        <v>7721.3</v>
      </c>
      <c r="C5" s="48">
        <v>1.44E-2</v>
      </c>
      <c r="D5" s="49">
        <v>15267.6</v>
      </c>
      <c r="E5" s="48">
        <v>1.6999999999999999E-3</v>
      </c>
      <c r="F5" s="49">
        <v>10304.700000000001</v>
      </c>
      <c r="G5" s="48">
        <v>3.9600000000000003E-2</v>
      </c>
      <c r="H5" s="55">
        <v>1295</v>
      </c>
      <c r="I5" s="51">
        <f t="shared" si="0"/>
        <v>25210.104972109246</v>
      </c>
      <c r="J5" s="48">
        <v>-1.44E-2</v>
      </c>
      <c r="K5" s="185">
        <v>8.718</v>
      </c>
      <c r="L5" s="48">
        <v>-3.0000000000000001E-3</v>
      </c>
      <c r="M5" s="47">
        <v>60.55</v>
      </c>
      <c r="N5" s="56">
        <v>8.3999999999999995E-3</v>
      </c>
    </row>
    <row r="6" spans="1:14" x14ac:dyDescent="0.35">
      <c r="A6" s="38">
        <v>41852</v>
      </c>
      <c r="B6" s="47">
        <v>7954.35</v>
      </c>
      <c r="C6" s="48">
        <v>3.0200000000000001E-2</v>
      </c>
      <c r="D6" s="49">
        <v>15740.4</v>
      </c>
      <c r="E6" s="48">
        <v>3.1E-2</v>
      </c>
      <c r="F6" s="49">
        <v>10679.65</v>
      </c>
      <c r="G6" s="48">
        <v>3.6400000000000002E-2</v>
      </c>
      <c r="H6" s="55">
        <v>1285.75</v>
      </c>
      <c r="I6" s="51">
        <f t="shared" si="0"/>
        <v>25011.43078753195</v>
      </c>
      <c r="J6" s="48">
        <v>5.9999999999999995E-4</v>
      </c>
      <c r="K6" s="185">
        <v>8.5589999999999993</v>
      </c>
      <c r="L6" s="48">
        <v>-1.8200000000000001E-2</v>
      </c>
      <c r="M6" s="47">
        <v>60.505000000000003</v>
      </c>
      <c r="N6" s="56">
        <v>-6.9999999999999999E-4</v>
      </c>
    </row>
    <row r="7" spans="1:14" x14ac:dyDescent="0.35">
      <c r="A7" s="38">
        <v>41883</v>
      </c>
      <c r="B7" s="47">
        <v>7964.8</v>
      </c>
      <c r="C7" s="48">
        <v>1.2999999999999999E-3</v>
      </c>
      <c r="D7" s="49">
        <v>15392.25</v>
      </c>
      <c r="E7" s="48">
        <v>-2.2100000000000002E-2</v>
      </c>
      <c r="F7" s="49">
        <v>11302.7</v>
      </c>
      <c r="G7" s="48">
        <v>5.8299999999999998E-2</v>
      </c>
      <c r="H7" s="55">
        <v>1210</v>
      </c>
      <c r="I7" s="51">
        <f t="shared" si="0"/>
        <v>24090.295304386964</v>
      </c>
      <c r="J7" s="48">
        <v>-3.9300000000000002E-2</v>
      </c>
      <c r="K7" s="185">
        <v>8.5109999999999992</v>
      </c>
      <c r="L7" s="48">
        <v>-5.5999999999999999E-3</v>
      </c>
      <c r="M7" s="47">
        <v>61.924999999999997</v>
      </c>
      <c r="N7" s="56">
        <v>2.35E-2</v>
      </c>
    </row>
    <row r="8" spans="1:14" x14ac:dyDescent="0.35">
      <c r="A8" s="38">
        <v>41913</v>
      </c>
      <c r="B8" s="47">
        <v>8322.2000000000007</v>
      </c>
      <c r="C8" s="48">
        <v>4.4900000000000002E-2</v>
      </c>
      <c r="D8" s="49">
        <v>17045.05</v>
      </c>
      <c r="E8" s="48">
        <v>0.1074</v>
      </c>
      <c r="F8" s="49">
        <v>11341.05</v>
      </c>
      <c r="G8" s="48">
        <v>3.3999999999999998E-3</v>
      </c>
      <c r="H8" s="55">
        <v>1173.25</v>
      </c>
      <c r="I8" s="51">
        <f t="shared" si="0"/>
        <v>23156.820775796936</v>
      </c>
      <c r="J8" s="48">
        <v>-1.7299999999999999E-2</v>
      </c>
      <c r="K8" s="185">
        <v>8.2780000000000005</v>
      </c>
      <c r="L8" s="48">
        <v>-2.7400000000000001E-2</v>
      </c>
      <c r="M8" s="47">
        <v>61.39</v>
      </c>
      <c r="N8" s="56">
        <v>-8.6E-3</v>
      </c>
    </row>
    <row r="9" spans="1:14" x14ac:dyDescent="0.35">
      <c r="A9" s="38">
        <v>41944</v>
      </c>
      <c r="B9" s="47">
        <v>8588.25</v>
      </c>
      <c r="C9" s="48">
        <v>3.2000000000000001E-2</v>
      </c>
      <c r="D9" s="49">
        <v>18513.150000000001</v>
      </c>
      <c r="E9" s="48">
        <v>8.6099999999999996E-2</v>
      </c>
      <c r="F9" s="49">
        <v>11898.05</v>
      </c>
      <c r="G9" s="48">
        <v>4.9099999999999998E-2</v>
      </c>
      <c r="H9" s="55">
        <v>1184.5</v>
      </c>
      <c r="I9" s="51">
        <f t="shared" si="0"/>
        <v>23685.430096291413</v>
      </c>
      <c r="J9" s="48">
        <v>6.6E-3</v>
      </c>
      <c r="K9" s="185">
        <v>8.0869999999999997</v>
      </c>
      <c r="L9" s="48">
        <v>-2.3099999999999999E-2</v>
      </c>
      <c r="M9" s="47">
        <v>62.195</v>
      </c>
      <c r="N9" s="56">
        <v>1.3100000000000001E-2</v>
      </c>
    </row>
    <row r="10" spans="1:14" x14ac:dyDescent="0.35">
      <c r="A10" s="38">
        <v>41974</v>
      </c>
      <c r="B10" s="47">
        <v>8282.7000000000007</v>
      </c>
      <c r="C10" s="48">
        <v>-3.56E-2</v>
      </c>
      <c r="D10" s="49">
        <v>18736.650000000001</v>
      </c>
      <c r="E10" s="48">
        <v>1.21E-2</v>
      </c>
      <c r="F10" s="49">
        <v>11216.3</v>
      </c>
      <c r="G10" s="48">
        <v>-5.7299999999999997E-2</v>
      </c>
      <c r="H10" s="55">
        <v>1199.25</v>
      </c>
      <c r="I10" s="51">
        <f t="shared" si="0"/>
        <v>24302.322085938878</v>
      </c>
      <c r="J10" s="48">
        <v>8.6999999999999994E-3</v>
      </c>
      <c r="K10" s="185">
        <v>7.8550000000000004</v>
      </c>
      <c r="L10" s="48">
        <v>-2.87E-2</v>
      </c>
      <c r="M10" s="47">
        <v>63.03</v>
      </c>
      <c r="N10" s="56">
        <v>1.34E-2</v>
      </c>
    </row>
    <row r="11" spans="1:14" x14ac:dyDescent="0.35">
      <c r="A11" s="38">
        <v>42005</v>
      </c>
      <c r="B11" s="47">
        <v>8808.9</v>
      </c>
      <c r="C11" s="48">
        <v>6.3500000000000001E-2</v>
      </c>
      <c r="D11" s="49">
        <v>19843.75</v>
      </c>
      <c r="E11" s="48">
        <v>5.91E-2</v>
      </c>
      <c r="F11" s="49">
        <v>11824.75</v>
      </c>
      <c r="G11" s="48">
        <v>5.4199999999999998E-2</v>
      </c>
      <c r="H11" s="55">
        <v>1263.5</v>
      </c>
      <c r="I11" s="51">
        <f t="shared" si="0"/>
        <v>25189.973797161088</v>
      </c>
      <c r="J11" s="48">
        <v>4.65E-2</v>
      </c>
      <c r="K11" s="185">
        <v>7.6909999999999998</v>
      </c>
      <c r="L11" s="48">
        <v>-2.0899999999999998E-2</v>
      </c>
      <c r="M11" s="47">
        <v>62.01</v>
      </c>
      <c r="N11" s="56">
        <v>-1.6199999999999999E-2</v>
      </c>
    </row>
    <row r="12" spans="1:14" x14ac:dyDescent="0.35">
      <c r="A12" s="38">
        <v>42036</v>
      </c>
      <c r="B12" s="47">
        <v>8901.85</v>
      </c>
      <c r="C12" s="48">
        <v>1.06E-2</v>
      </c>
      <c r="D12" s="49">
        <v>19691.2</v>
      </c>
      <c r="E12" s="48">
        <v>-7.7000000000000002E-3</v>
      </c>
      <c r="F12" s="49">
        <v>12659.8</v>
      </c>
      <c r="G12" s="48">
        <v>7.0599999999999996E-2</v>
      </c>
      <c r="H12" s="55">
        <v>1205</v>
      </c>
      <c r="I12" s="51">
        <f t="shared" si="0"/>
        <v>23883.821756393972</v>
      </c>
      <c r="J12" s="48">
        <v>-5.3800000000000001E-2</v>
      </c>
      <c r="K12" s="185">
        <v>7.7240000000000002</v>
      </c>
      <c r="L12" s="48">
        <v>4.3E-3</v>
      </c>
      <c r="M12" s="47">
        <v>61.649000000000001</v>
      </c>
      <c r="N12" s="56">
        <v>-5.7999999999999996E-3</v>
      </c>
    </row>
    <row r="13" spans="1:14" x14ac:dyDescent="0.35">
      <c r="A13" s="38">
        <v>42064</v>
      </c>
      <c r="B13" s="47">
        <v>8491</v>
      </c>
      <c r="C13" s="48">
        <v>-4.6199999999999998E-2</v>
      </c>
      <c r="D13" s="49">
        <v>18206.650000000001</v>
      </c>
      <c r="E13" s="48">
        <v>-7.5399999999999995E-2</v>
      </c>
      <c r="F13" s="49">
        <v>12083</v>
      </c>
      <c r="G13" s="48">
        <v>-4.5600000000000002E-2</v>
      </c>
      <c r="H13" s="55">
        <v>1179.25</v>
      </c>
      <c r="I13" s="51">
        <f t="shared" si="0"/>
        <v>23613.056167312359</v>
      </c>
      <c r="J13" s="48">
        <v>-1.6899999999999998E-2</v>
      </c>
      <c r="K13" s="185">
        <v>7.7380000000000004</v>
      </c>
      <c r="L13" s="48">
        <v>1.8E-3</v>
      </c>
      <c r="M13" s="47">
        <v>62.280999999999999</v>
      </c>
      <c r="N13" s="56">
        <v>1.03E-2</v>
      </c>
    </row>
    <row r="14" spans="1:14" x14ac:dyDescent="0.35">
      <c r="A14" s="38">
        <v>42095</v>
      </c>
      <c r="B14" s="47">
        <v>8181.5</v>
      </c>
      <c r="C14" s="48">
        <v>-3.6499999999999998E-2</v>
      </c>
      <c r="D14" s="49">
        <v>18338.099999999999</v>
      </c>
      <c r="E14" s="48">
        <v>7.1999999999999998E-3</v>
      </c>
      <c r="F14" s="49">
        <v>11001.05</v>
      </c>
      <c r="G14" s="48">
        <v>-8.9499999999999996E-2</v>
      </c>
      <c r="H14" s="55">
        <v>1204.3</v>
      </c>
      <c r="I14" s="51">
        <f t="shared" si="0"/>
        <v>24594.38198273506</v>
      </c>
      <c r="J14" s="48">
        <v>3.56E-2</v>
      </c>
      <c r="K14" s="185">
        <v>7.86</v>
      </c>
      <c r="L14" s="48">
        <v>1.5800000000000002E-2</v>
      </c>
      <c r="M14" s="47">
        <v>63.52</v>
      </c>
      <c r="N14" s="56">
        <v>1.9900000000000001E-2</v>
      </c>
    </row>
    <row r="15" spans="1:14" x14ac:dyDescent="0.35">
      <c r="A15" s="38">
        <v>42125</v>
      </c>
      <c r="B15" s="47">
        <v>8433.65</v>
      </c>
      <c r="C15" s="48">
        <v>3.0800000000000001E-2</v>
      </c>
      <c r="D15" s="49">
        <v>18721.349999999999</v>
      </c>
      <c r="E15" s="48">
        <v>2.0899999999999998E-2</v>
      </c>
      <c r="F15" s="49">
        <v>11575.05</v>
      </c>
      <c r="G15" s="48">
        <v>5.2200000000000003E-2</v>
      </c>
      <c r="H15" s="55">
        <v>1189.8</v>
      </c>
      <c r="I15" s="51">
        <f t="shared" si="0"/>
        <v>24379.73970774993</v>
      </c>
      <c r="J15" s="48">
        <v>-9.7999999999999997E-3</v>
      </c>
      <c r="K15" s="185">
        <v>7.8150000000000004</v>
      </c>
      <c r="L15" s="48">
        <v>-5.7000000000000002E-3</v>
      </c>
      <c r="M15" s="47">
        <v>63.732999999999997</v>
      </c>
      <c r="N15" s="56">
        <v>3.3999999999999998E-3</v>
      </c>
    </row>
    <row r="16" spans="1:14" x14ac:dyDescent="0.35">
      <c r="A16" s="38">
        <v>42156</v>
      </c>
      <c r="B16" s="47">
        <v>8368.5</v>
      </c>
      <c r="C16" s="48">
        <v>-7.7000000000000002E-3</v>
      </c>
      <c r="D16" s="49">
        <v>18296.099999999999</v>
      </c>
      <c r="E16" s="48">
        <v>-2.2700000000000001E-2</v>
      </c>
      <c r="F16" s="49">
        <v>11037.4</v>
      </c>
      <c r="G16" s="48">
        <v>-4.6399999999999997E-2</v>
      </c>
      <c r="H16" s="55">
        <v>1171.8</v>
      </c>
      <c r="I16" s="51">
        <f t="shared" si="0"/>
        <v>23958.541386017649</v>
      </c>
      <c r="J16" s="48">
        <v>-1.6299999999999999E-2</v>
      </c>
      <c r="K16" s="185">
        <v>7.8609999999999998</v>
      </c>
      <c r="L16" s="48">
        <v>5.8999999999999999E-3</v>
      </c>
      <c r="M16" s="47">
        <v>63.594000000000001</v>
      </c>
      <c r="N16" s="56">
        <v>-2.2000000000000001E-3</v>
      </c>
    </row>
    <row r="17" spans="1:14" x14ac:dyDescent="0.35">
      <c r="A17" s="38">
        <v>42186</v>
      </c>
      <c r="B17" s="47">
        <v>8532.85</v>
      </c>
      <c r="C17" s="48">
        <v>1.9599999999999999E-2</v>
      </c>
      <c r="D17" s="49">
        <v>18729.849999999999</v>
      </c>
      <c r="E17" s="48">
        <v>2.3699999999999999E-2</v>
      </c>
      <c r="F17" s="49">
        <v>11594.15</v>
      </c>
      <c r="G17" s="48">
        <v>5.04E-2</v>
      </c>
      <c r="H17" s="55">
        <v>1095.0999999999999</v>
      </c>
      <c r="I17" s="51">
        <f t="shared" si="0"/>
        <v>22525.538219171474</v>
      </c>
      <c r="J17" s="48">
        <v>-6.2E-2</v>
      </c>
      <c r="K17" s="185">
        <v>7.806</v>
      </c>
      <c r="L17" s="48">
        <v>-7.0000000000000001E-3</v>
      </c>
      <c r="M17" s="47">
        <v>63.978000000000002</v>
      </c>
      <c r="N17" s="56">
        <v>6.0000000000000001E-3</v>
      </c>
    </row>
    <row r="18" spans="1:14" x14ac:dyDescent="0.35">
      <c r="A18" s="38">
        <v>42217</v>
      </c>
      <c r="B18" s="47">
        <v>7971.3</v>
      </c>
      <c r="C18" s="48">
        <v>-6.5799999999999997E-2</v>
      </c>
      <c r="D18" s="49">
        <v>17146.55</v>
      </c>
      <c r="E18" s="48">
        <v>-8.4500000000000006E-2</v>
      </c>
      <c r="F18" s="49">
        <v>11605.7</v>
      </c>
      <c r="G18" s="48">
        <v>1E-3</v>
      </c>
      <c r="H18" s="55">
        <v>1132.5</v>
      </c>
      <c r="I18" s="51">
        <f t="shared" si="0"/>
        <v>24177.428585207454</v>
      </c>
      <c r="J18" s="48">
        <v>7.1199999999999999E-2</v>
      </c>
      <c r="K18" s="185">
        <v>7.7839999999999998</v>
      </c>
      <c r="L18" s="48">
        <v>-2.8E-3</v>
      </c>
      <c r="M18" s="47">
        <v>66.402000000000001</v>
      </c>
      <c r="N18" s="56">
        <v>3.7900000000000003E-2</v>
      </c>
    </row>
    <row r="19" spans="1:14" x14ac:dyDescent="0.35">
      <c r="A19" s="38">
        <v>42248</v>
      </c>
      <c r="B19" s="47">
        <v>7948.9</v>
      </c>
      <c r="C19" s="48">
        <v>-2.8E-3</v>
      </c>
      <c r="D19" s="49">
        <v>17216.3</v>
      </c>
      <c r="E19" s="48">
        <v>4.1000000000000003E-3</v>
      </c>
      <c r="F19" s="49">
        <v>12032.1</v>
      </c>
      <c r="G19" s="48">
        <v>3.6700000000000003E-2</v>
      </c>
      <c r="H19" s="55">
        <v>1115.2</v>
      </c>
      <c r="I19" s="51">
        <f t="shared" si="0"/>
        <v>23487.198032375782</v>
      </c>
      <c r="J19" s="48">
        <v>-1.8200000000000001E-2</v>
      </c>
      <c r="K19" s="185">
        <v>7.5389999999999997</v>
      </c>
      <c r="L19" s="48">
        <v>-3.15E-2</v>
      </c>
      <c r="M19" s="47">
        <v>65.507000000000005</v>
      </c>
      <c r="N19" s="56">
        <v>-1.35E-2</v>
      </c>
    </row>
    <row r="20" spans="1:14" x14ac:dyDescent="0.35">
      <c r="A20" s="38">
        <v>42278</v>
      </c>
      <c r="B20" s="47">
        <v>8065.8</v>
      </c>
      <c r="C20" s="48">
        <v>1.47E-2</v>
      </c>
      <c r="D20" s="49">
        <v>17354.5</v>
      </c>
      <c r="E20" s="48">
        <v>8.0000000000000002E-3</v>
      </c>
      <c r="F20" s="49">
        <v>11486.9</v>
      </c>
      <c r="G20" s="48">
        <v>-4.53E-2</v>
      </c>
      <c r="H20" s="55">
        <v>1141.4000000000001</v>
      </c>
      <c r="I20" s="51">
        <f t="shared" si="0"/>
        <v>24004.500522449242</v>
      </c>
      <c r="J20" s="48">
        <v>2.2499999999999999E-2</v>
      </c>
      <c r="K20" s="185">
        <v>7.64</v>
      </c>
      <c r="L20" s="48">
        <v>1.34E-2</v>
      </c>
      <c r="M20" s="47">
        <v>65.412999999999997</v>
      </c>
      <c r="N20" s="56">
        <v>-1.4E-3</v>
      </c>
    </row>
    <row r="21" spans="1:14" x14ac:dyDescent="0.35">
      <c r="A21" s="38">
        <v>42309</v>
      </c>
      <c r="B21" s="47">
        <v>7935.25</v>
      </c>
      <c r="C21" s="48">
        <v>-1.6199999999999999E-2</v>
      </c>
      <c r="D21" s="49">
        <v>17430.400000000001</v>
      </c>
      <c r="E21" s="48">
        <v>4.4000000000000003E-3</v>
      </c>
      <c r="F21" s="49">
        <v>11206</v>
      </c>
      <c r="G21" s="48">
        <v>-2.4500000000000001E-2</v>
      </c>
      <c r="H21" s="55">
        <v>1065.3</v>
      </c>
      <c r="I21" s="51">
        <f t="shared" si="0"/>
        <v>22759.919494590642</v>
      </c>
      <c r="J21" s="48">
        <v>-6.0699999999999997E-2</v>
      </c>
      <c r="K21" s="185">
        <v>7.7859999999999996</v>
      </c>
      <c r="L21" s="48">
        <v>1.9099999999999999E-2</v>
      </c>
      <c r="M21" s="47">
        <v>66.451999999999998</v>
      </c>
      <c r="N21" s="56">
        <v>1.5900000000000001E-2</v>
      </c>
    </row>
    <row r="22" spans="1:14" x14ac:dyDescent="0.35">
      <c r="A22" s="38">
        <v>42339</v>
      </c>
      <c r="B22" s="47">
        <v>7946.35</v>
      </c>
      <c r="C22" s="48">
        <v>1.4E-3</v>
      </c>
      <c r="D22" s="49">
        <v>16922.2</v>
      </c>
      <c r="E22" s="48">
        <v>-2.92E-2</v>
      </c>
      <c r="F22" s="49">
        <v>11212.55</v>
      </c>
      <c r="G22" s="48">
        <v>5.9999999999999995E-4</v>
      </c>
      <c r="H22" s="55">
        <v>1060.2</v>
      </c>
      <c r="I22" s="51">
        <f t="shared" si="0"/>
        <v>22564.380085842429</v>
      </c>
      <c r="J22" s="48">
        <v>-5.7999999999999996E-3</v>
      </c>
      <c r="K22" s="185">
        <v>7.758</v>
      </c>
      <c r="L22" s="48">
        <v>-3.5999999999999999E-3</v>
      </c>
      <c r="M22" s="47">
        <v>66.197999999999993</v>
      </c>
      <c r="N22" s="56">
        <v>-3.8E-3</v>
      </c>
    </row>
    <row r="23" spans="1:14" x14ac:dyDescent="0.35">
      <c r="A23" s="38">
        <v>42370</v>
      </c>
      <c r="B23" s="47">
        <v>7563.55</v>
      </c>
      <c r="C23" s="48">
        <v>-4.82E-2</v>
      </c>
      <c r="D23" s="49">
        <v>15522.4</v>
      </c>
      <c r="E23" s="48">
        <v>-8.2699999999999996E-2</v>
      </c>
      <c r="F23" s="49">
        <v>11236.15</v>
      </c>
      <c r="G23" s="48">
        <v>2.0999999999999999E-3</v>
      </c>
      <c r="H23" s="55">
        <v>1116.4000000000001</v>
      </c>
      <c r="I23" s="51">
        <f t="shared" si="0"/>
        <v>24359.906505698717</v>
      </c>
      <c r="J23" s="48">
        <v>6.3200000000000006E-2</v>
      </c>
      <c r="K23" s="185">
        <v>7.7789999999999999</v>
      </c>
      <c r="L23" s="48">
        <v>2.7000000000000001E-3</v>
      </c>
      <c r="M23" s="47">
        <v>67.867999999999995</v>
      </c>
      <c r="N23" s="56">
        <v>2.52E-2</v>
      </c>
    </row>
    <row r="24" spans="1:14" x14ac:dyDescent="0.35">
      <c r="A24" s="38">
        <v>42401</v>
      </c>
      <c r="B24" s="47">
        <v>6987.05</v>
      </c>
      <c r="C24" s="48">
        <v>-7.6200000000000004E-2</v>
      </c>
      <c r="D24" s="49">
        <v>13946.4</v>
      </c>
      <c r="E24" s="48">
        <v>-0.10150000000000001</v>
      </c>
      <c r="F24" s="49">
        <v>10278.4</v>
      </c>
      <c r="G24" s="48">
        <v>-8.5199999999999998E-2</v>
      </c>
      <c r="H24" s="55">
        <v>1234.4000000000001</v>
      </c>
      <c r="I24" s="51">
        <f t="shared" si="0"/>
        <v>27065.639301043288</v>
      </c>
      <c r="J24" s="48">
        <v>9.3100000000000002E-2</v>
      </c>
      <c r="K24" s="185">
        <v>7.6230000000000002</v>
      </c>
      <c r="L24" s="48">
        <v>-2.01E-2</v>
      </c>
      <c r="M24" s="47">
        <v>68.197999999999993</v>
      </c>
      <c r="N24" s="56">
        <v>4.8999999999999998E-3</v>
      </c>
    </row>
    <row r="25" spans="1:14" x14ac:dyDescent="0.35">
      <c r="A25" s="38">
        <v>42430</v>
      </c>
      <c r="B25" s="47">
        <v>7738.4</v>
      </c>
      <c r="C25" s="48">
        <v>0.1075</v>
      </c>
      <c r="D25" s="49">
        <v>16141.65</v>
      </c>
      <c r="E25" s="48">
        <v>0.15740000000000001</v>
      </c>
      <c r="F25" s="49">
        <v>11309.3</v>
      </c>
      <c r="G25" s="48">
        <v>0.1003</v>
      </c>
      <c r="H25" s="55">
        <v>1235.5999999999999</v>
      </c>
      <c r="I25" s="51">
        <f t="shared" si="0"/>
        <v>26318.099249280625</v>
      </c>
      <c r="J25" s="48">
        <v>-3.2199999999999999E-2</v>
      </c>
      <c r="K25" s="185">
        <v>7.4589999999999996</v>
      </c>
      <c r="L25" s="48">
        <v>-2.1499999999999998E-2</v>
      </c>
      <c r="M25" s="47">
        <v>66.25</v>
      </c>
      <c r="N25" s="56">
        <v>-2.86E-2</v>
      </c>
    </row>
    <row r="26" spans="1:14" x14ac:dyDescent="0.35">
      <c r="A26" s="38">
        <v>42461</v>
      </c>
      <c r="B26" s="47">
        <v>7849.8</v>
      </c>
      <c r="C26" s="48">
        <v>1.44E-2</v>
      </c>
      <c r="D26" s="49">
        <v>16795</v>
      </c>
      <c r="E26" s="48">
        <v>4.0500000000000001E-2</v>
      </c>
      <c r="F26" s="49">
        <v>11196.25</v>
      </c>
      <c r="G26" s="48">
        <v>-0.01</v>
      </c>
      <c r="H26" s="55">
        <v>1290.5</v>
      </c>
      <c r="I26" s="51">
        <f t="shared" si="0"/>
        <v>27555.920555564491</v>
      </c>
      <c r="J26" s="48">
        <v>5.9799999999999999E-2</v>
      </c>
      <c r="K26" s="185">
        <v>7.4349999999999996</v>
      </c>
      <c r="L26" s="48">
        <v>-3.2000000000000002E-3</v>
      </c>
      <c r="M26" s="47">
        <v>66.415000000000006</v>
      </c>
      <c r="N26" s="56">
        <v>2.5000000000000001E-3</v>
      </c>
    </row>
    <row r="27" spans="1:14" x14ac:dyDescent="0.35">
      <c r="A27" s="38">
        <v>42491</v>
      </c>
      <c r="B27" s="47">
        <v>8160.1</v>
      </c>
      <c r="C27" s="48">
        <v>3.95E-2</v>
      </c>
      <c r="D27" s="49">
        <v>17620.900000000001</v>
      </c>
      <c r="E27" s="48">
        <v>4.9200000000000001E-2</v>
      </c>
      <c r="F27" s="49">
        <v>11395.85</v>
      </c>
      <c r="G27" s="48">
        <v>1.78E-2</v>
      </c>
      <c r="H27" s="55">
        <v>1217.5</v>
      </c>
      <c r="I27" s="51">
        <f t="shared" si="0"/>
        <v>26304.043757133437</v>
      </c>
      <c r="J27" s="48">
        <v>-2.63E-2</v>
      </c>
      <c r="K27" s="185">
        <v>7.4710000000000001</v>
      </c>
      <c r="L27" s="48">
        <v>4.7999999999999996E-3</v>
      </c>
      <c r="M27" s="47">
        <v>67.198999999999998</v>
      </c>
      <c r="N27" s="56">
        <v>1.18E-2</v>
      </c>
    </row>
    <row r="28" spans="1:14" x14ac:dyDescent="0.35">
      <c r="A28" s="38">
        <v>42522</v>
      </c>
      <c r="B28" s="47">
        <v>8287.75</v>
      </c>
      <c r="C28" s="48">
        <v>1.5599999999999999E-2</v>
      </c>
      <c r="D28" s="49">
        <v>17935.400000000001</v>
      </c>
      <c r="E28" s="48">
        <v>1.78E-2</v>
      </c>
      <c r="F28" s="49">
        <v>11120.15</v>
      </c>
      <c r="G28" s="48">
        <v>-2.4199999999999999E-2</v>
      </c>
      <c r="H28" s="55">
        <v>1320.6</v>
      </c>
      <c r="I28" s="51">
        <f t="shared" si="0"/>
        <v>28656.342791004223</v>
      </c>
      <c r="J28" s="48">
        <v>4.9799999999999997E-2</v>
      </c>
      <c r="K28" s="185">
        <v>7.4480000000000004</v>
      </c>
      <c r="L28" s="48">
        <v>-3.0999999999999999E-3</v>
      </c>
      <c r="M28" s="47">
        <v>67.492999999999995</v>
      </c>
      <c r="N28" s="56">
        <v>4.4000000000000003E-3</v>
      </c>
    </row>
    <row r="29" spans="1:14" x14ac:dyDescent="0.35">
      <c r="A29" s="38">
        <v>42552</v>
      </c>
      <c r="B29" s="47">
        <v>8638.5</v>
      </c>
      <c r="C29" s="48">
        <v>4.2299999999999997E-2</v>
      </c>
      <c r="D29" s="49">
        <v>18953.150000000001</v>
      </c>
      <c r="E29" s="48">
        <v>5.67E-2</v>
      </c>
      <c r="F29" s="49">
        <v>10913.3</v>
      </c>
      <c r="G29" s="48">
        <v>-1.8599999999999998E-2</v>
      </c>
      <c r="H29" s="55">
        <v>1357.5</v>
      </c>
      <c r="I29" s="51">
        <f t="shared" si="0"/>
        <v>29080.400919510663</v>
      </c>
      <c r="J29" s="48">
        <v>6.7999999999999996E-3</v>
      </c>
      <c r="K29" s="185">
        <v>7.1630000000000003</v>
      </c>
      <c r="L29" s="48">
        <v>-3.8300000000000001E-2</v>
      </c>
      <c r="M29" s="47">
        <v>66.63</v>
      </c>
      <c r="N29" s="56">
        <v>-1.2800000000000001E-2</v>
      </c>
    </row>
    <row r="30" spans="1:14" x14ac:dyDescent="0.35">
      <c r="A30" s="38">
        <v>42583</v>
      </c>
      <c r="B30" s="47">
        <v>8786.2000000000007</v>
      </c>
      <c r="C30" s="48">
        <v>1.7100000000000001E-2</v>
      </c>
      <c r="D30" s="49">
        <v>19787.599999999999</v>
      </c>
      <c r="E30" s="48">
        <v>4.3999999999999997E-2</v>
      </c>
      <c r="F30" s="49">
        <v>10546.1</v>
      </c>
      <c r="G30" s="48">
        <v>-3.3599999999999998E-2</v>
      </c>
      <c r="H30" s="55">
        <v>1311.4</v>
      </c>
      <c r="I30" s="51">
        <f t="shared" si="0"/>
        <v>28233.246483514718</v>
      </c>
      <c r="J30" s="48">
        <v>5.5999999999999999E-3</v>
      </c>
      <c r="K30" s="185">
        <v>7.11</v>
      </c>
      <c r="L30" s="48">
        <v>-7.4000000000000003E-3</v>
      </c>
      <c r="M30" s="47">
        <v>66.962999999999994</v>
      </c>
      <c r="N30" s="56">
        <v>5.0000000000000001E-3</v>
      </c>
    </row>
    <row r="31" spans="1:14" x14ac:dyDescent="0.35">
      <c r="A31" s="38">
        <v>42614</v>
      </c>
      <c r="B31" s="47">
        <v>8611.15</v>
      </c>
      <c r="C31" s="48">
        <v>-1.9900000000000001E-2</v>
      </c>
      <c r="D31" s="49">
        <v>19285.7</v>
      </c>
      <c r="E31" s="48">
        <v>-2.5399999999999999E-2</v>
      </c>
      <c r="F31" s="49">
        <v>10292.299999999999</v>
      </c>
      <c r="G31" s="48">
        <v>-2.41E-2</v>
      </c>
      <c r="H31" s="55">
        <v>1317.1</v>
      </c>
      <c r="I31" s="51">
        <f t="shared" si="0"/>
        <v>28179.380648480073</v>
      </c>
      <c r="J31" s="48">
        <v>4.7000000000000002E-3</v>
      </c>
      <c r="K31" s="185">
        <v>6.9580000000000002</v>
      </c>
      <c r="L31" s="48">
        <v>-2.1399999999999999E-2</v>
      </c>
      <c r="M31" s="47">
        <v>66.546000000000006</v>
      </c>
      <c r="N31" s="56">
        <v>-6.1999999999999998E-3</v>
      </c>
    </row>
    <row r="32" spans="1:14" x14ac:dyDescent="0.35">
      <c r="A32" s="38">
        <v>42644</v>
      </c>
      <c r="B32" s="47">
        <v>8625.7000000000007</v>
      </c>
      <c r="C32" s="48">
        <v>1.6999999999999999E-3</v>
      </c>
      <c r="D32" s="49">
        <v>19523.55</v>
      </c>
      <c r="E32" s="48">
        <v>1.23E-2</v>
      </c>
      <c r="F32" s="49">
        <v>10082.700000000001</v>
      </c>
      <c r="G32" s="48">
        <v>-2.0400000000000001E-2</v>
      </c>
      <c r="H32" s="55">
        <v>1273.0999999999999</v>
      </c>
      <c r="I32" s="51">
        <f t="shared" si="0"/>
        <v>27290.800874499651</v>
      </c>
      <c r="J32" s="48">
        <v>-1.4500000000000001E-2</v>
      </c>
      <c r="K32" s="185">
        <v>6.8849999999999998</v>
      </c>
      <c r="L32" s="48">
        <v>-1.0500000000000001E-2</v>
      </c>
      <c r="M32" s="47">
        <v>66.674999999999997</v>
      </c>
      <c r="N32" s="56">
        <v>1.9E-3</v>
      </c>
    </row>
    <row r="33" spans="1:14" x14ac:dyDescent="0.35">
      <c r="A33" s="38">
        <v>42675</v>
      </c>
      <c r="B33" s="47">
        <v>8224.5</v>
      </c>
      <c r="C33" s="48">
        <v>-4.65E-2</v>
      </c>
      <c r="D33" s="49">
        <v>18627.8</v>
      </c>
      <c r="E33" s="48">
        <v>-4.5900000000000003E-2</v>
      </c>
      <c r="F33" s="49">
        <v>10087.700000000001</v>
      </c>
      <c r="G33" s="48">
        <v>5.0000000000000001E-4</v>
      </c>
      <c r="H33" s="55">
        <v>1173.9000000000001</v>
      </c>
      <c r="I33" s="51">
        <f>(H33/31.1035)*10*M33</f>
        <v>25886.299998392464</v>
      </c>
      <c r="J33" s="48">
        <v>-4.9799999999999997E-2</v>
      </c>
      <c r="K33" s="185">
        <v>6.2430000000000003</v>
      </c>
      <c r="L33" s="48">
        <v>-9.3200000000000005E-2</v>
      </c>
      <c r="M33" s="47">
        <v>68.587999999999994</v>
      </c>
      <c r="N33" s="56">
        <v>2.87E-2</v>
      </c>
    </row>
    <row r="34" spans="1:14" x14ac:dyDescent="0.35">
      <c r="A34" s="38">
        <v>42705</v>
      </c>
      <c r="B34" s="47">
        <v>8185.8</v>
      </c>
      <c r="C34" s="48">
        <v>-4.7000000000000002E-3</v>
      </c>
      <c r="D34" s="49">
        <v>18177.2</v>
      </c>
      <c r="E34" s="48">
        <v>-2.4199999999999999E-2</v>
      </c>
      <c r="F34" s="49">
        <v>10399.25</v>
      </c>
      <c r="G34" s="48">
        <v>3.09E-2</v>
      </c>
      <c r="H34" s="55">
        <v>1151.7</v>
      </c>
      <c r="I34" s="51">
        <f t="shared" si="0"/>
        <v>25158.665905766233</v>
      </c>
      <c r="J34" s="48">
        <v>-3.0599999999999999E-2</v>
      </c>
      <c r="K34" s="185">
        <v>6.5119999999999996</v>
      </c>
      <c r="L34" s="48">
        <v>4.3099999999999999E-2</v>
      </c>
      <c r="M34" s="47">
        <v>67.944999999999993</v>
      </c>
      <c r="N34" s="56">
        <v>-9.4000000000000004E-3</v>
      </c>
    </row>
    <row r="35" spans="1:14" x14ac:dyDescent="0.35">
      <c r="A35" s="38">
        <v>42736</v>
      </c>
      <c r="B35" s="47">
        <v>8561.2999999999993</v>
      </c>
      <c r="C35" s="48">
        <v>4.5900000000000003E-2</v>
      </c>
      <c r="D35" s="49">
        <v>19515.150000000001</v>
      </c>
      <c r="E35" s="48">
        <v>7.3599999999999999E-2</v>
      </c>
      <c r="F35" s="49">
        <v>9848.5</v>
      </c>
      <c r="G35" s="48">
        <v>-5.2999999999999999E-2</v>
      </c>
      <c r="H35" s="55">
        <v>1211.4000000000001</v>
      </c>
      <c r="I35" s="51">
        <f t="shared" si="0"/>
        <v>26285.590367643512</v>
      </c>
      <c r="J35" s="48">
        <v>2.58E-2</v>
      </c>
      <c r="K35" s="185">
        <v>6.407</v>
      </c>
      <c r="L35" s="48">
        <v>-1.61E-2</v>
      </c>
      <c r="M35" s="47">
        <v>67.489999999999995</v>
      </c>
      <c r="N35" s="56">
        <v>-6.7000000000000002E-3</v>
      </c>
    </row>
    <row r="36" spans="1:14" x14ac:dyDescent="0.35">
      <c r="A36" s="38">
        <v>42767</v>
      </c>
      <c r="B36" s="47">
        <v>8879.6</v>
      </c>
      <c r="C36" s="48">
        <v>3.7199999999999997E-2</v>
      </c>
      <c r="D36" s="49">
        <v>20607.25</v>
      </c>
      <c r="E36" s="48">
        <v>5.6000000000000001E-2</v>
      </c>
      <c r="F36" s="49">
        <v>10680.95</v>
      </c>
      <c r="G36" s="48">
        <v>8.4500000000000006E-2</v>
      </c>
      <c r="H36" s="55">
        <v>1253.9000000000001</v>
      </c>
      <c r="I36" s="51">
        <f t="shared" si="0"/>
        <v>26889.298631986756</v>
      </c>
      <c r="J36" s="48">
        <v>2.7199999999999998E-2</v>
      </c>
      <c r="K36" s="185">
        <v>6.87</v>
      </c>
      <c r="L36" s="48">
        <v>7.2300000000000003E-2</v>
      </c>
      <c r="M36" s="47">
        <v>66.7</v>
      </c>
      <c r="N36" s="56">
        <v>-1.17E-2</v>
      </c>
    </row>
    <row r="37" spans="1:14" x14ac:dyDescent="0.35">
      <c r="A37" s="38">
        <v>42795</v>
      </c>
      <c r="B37" s="47">
        <v>9173.75</v>
      </c>
      <c r="C37" s="48">
        <v>3.3099999999999997E-2</v>
      </c>
      <c r="D37" s="49">
        <v>21444.15</v>
      </c>
      <c r="E37" s="48">
        <v>4.0599999999999997E-2</v>
      </c>
      <c r="F37" s="49">
        <v>10703.25</v>
      </c>
      <c r="G37" s="48">
        <v>2.0999999999999999E-3</v>
      </c>
      <c r="H37" s="55">
        <v>1251.2</v>
      </c>
      <c r="I37" s="51">
        <f t="shared" si="0"/>
        <v>26087.199189801788</v>
      </c>
      <c r="J37" s="48">
        <v>-3.3000000000000002E-2</v>
      </c>
      <c r="K37" s="185">
        <v>6.6580000000000004</v>
      </c>
      <c r="L37" s="48">
        <v>-3.09E-2</v>
      </c>
      <c r="M37" s="47">
        <v>64.849999999999994</v>
      </c>
      <c r="N37" s="56">
        <v>-2.7699999999999999E-2</v>
      </c>
    </row>
    <row r="38" spans="1:14" x14ac:dyDescent="0.35">
      <c r="A38" s="38">
        <v>42826</v>
      </c>
      <c r="B38" s="47">
        <v>9304.0499999999993</v>
      </c>
      <c r="C38" s="48">
        <v>1.4200000000000001E-2</v>
      </c>
      <c r="D38" s="49">
        <v>22358.25</v>
      </c>
      <c r="E38" s="48">
        <v>4.2599999999999999E-2</v>
      </c>
      <c r="F38" s="49">
        <v>9943.7000000000007</v>
      </c>
      <c r="G38" s="48">
        <v>-7.0999999999999994E-2</v>
      </c>
      <c r="H38" s="55">
        <v>1268.3</v>
      </c>
      <c r="I38" s="51">
        <f t="shared" si="0"/>
        <v>26207.224588872632</v>
      </c>
      <c r="J38" s="48">
        <v>1.06E-2</v>
      </c>
      <c r="K38" s="185">
        <v>6.9610000000000003</v>
      </c>
      <c r="L38" s="48">
        <v>4.5499999999999999E-2</v>
      </c>
      <c r="M38" s="47">
        <v>64.27</v>
      </c>
      <c r="N38" s="56">
        <v>-8.8999999999999999E-3</v>
      </c>
    </row>
    <row r="39" spans="1:14" x14ac:dyDescent="0.35">
      <c r="A39" s="38">
        <v>42856</v>
      </c>
      <c r="B39" s="47">
        <v>9621.25</v>
      </c>
      <c r="C39" s="48">
        <v>3.4099999999999998E-2</v>
      </c>
      <c r="D39" s="49">
        <v>23424.799999999999</v>
      </c>
      <c r="E39" s="48">
        <v>4.7699999999999999E-2</v>
      </c>
      <c r="F39" s="49">
        <v>10549.1</v>
      </c>
      <c r="G39" s="48">
        <v>6.0900000000000003E-2</v>
      </c>
      <c r="H39" s="55">
        <v>1275.4000000000001</v>
      </c>
      <c r="I39" s="51">
        <f t="shared" si="0"/>
        <v>26450.295625894192</v>
      </c>
      <c r="J39" s="48">
        <v>-8.3999999999999995E-3</v>
      </c>
      <c r="K39" s="185">
        <v>6.6609999999999996</v>
      </c>
      <c r="L39" s="48">
        <v>-4.3099999999999999E-2</v>
      </c>
      <c r="M39" s="47">
        <v>64.504999999999995</v>
      </c>
      <c r="N39" s="56">
        <v>3.7000000000000002E-3</v>
      </c>
    </row>
    <row r="40" spans="1:14" x14ac:dyDescent="0.35">
      <c r="A40" s="38">
        <v>42887</v>
      </c>
      <c r="B40" s="47">
        <v>9520.9</v>
      </c>
      <c r="C40" s="48">
        <v>-1.04E-2</v>
      </c>
      <c r="D40" s="49">
        <v>23211.200000000001</v>
      </c>
      <c r="E40" s="48">
        <v>-9.1000000000000004E-3</v>
      </c>
      <c r="F40" s="49">
        <v>10155.049999999999</v>
      </c>
      <c r="G40" s="48">
        <v>-3.7400000000000003E-2</v>
      </c>
      <c r="H40" s="55">
        <v>1242.3</v>
      </c>
      <c r="I40" s="51">
        <f t="shared" si="0"/>
        <v>25807.77549150417</v>
      </c>
      <c r="J40" s="48">
        <v>-1.5900000000000001E-2</v>
      </c>
      <c r="K40" s="185">
        <v>6.5110000000000001</v>
      </c>
      <c r="L40" s="48">
        <v>-2.2499999999999999E-2</v>
      </c>
      <c r="M40" s="47">
        <v>64.614999999999995</v>
      </c>
      <c r="N40" s="56">
        <v>1.6999999999999999E-3</v>
      </c>
    </row>
    <row r="41" spans="1:14" x14ac:dyDescent="0.35">
      <c r="A41" s="38">
        <v>42917</v>
      </c>
      <c r="B41" s="47">
        <v>10077.1</v>
      </c>
      <c r="C41" s="48">
        <v>5.8400000000000001E-2</v>
      </c>
      <c r="D41" s="49">
        <v>25103.65</v>
      </c>
      <c r="E41" s="48">
        <v>8.1500000000000003E-2</v>
      </c>
      <c r="F41" s="49">
        <v>10755.75</v>
      </c>
      <c r="G41" s="48">
        <v>5.9200000000000003E-2</v>
      </c>
      <c r="H41" s="55">
        <v>1273.4000000000001</v>
      </c>
      <c r="I41" s="51">
        <f t="shared" si="0"/>
        <v>26271.666532705323</v>
      </c>
      <c r="J41" s="48">
        <v>-2.3E-3</v>
      </c>
      <c r="K41" s="185">
        <v>6.4649999999999999</v>
      </c>
      <c r="L41" s="48">
        <v>-7.1000000000000004E-3</v>
      </c>
      <c r="M41" s="47">
        <v>64.17</v>
      </c>
      <c r="N41" s="56">
        <v>-6.8999999999999999E-3</v>
      </c>
    </row>
    <row r="42" spans="1:14" x14ac:dyDescent="0.35">
      <c r="A42" s="38">
        <v>42948</v>
      </c>
      <c r="B42" s="47">
        <v>9917.9</v>
      </c>
      <c r="C42" s="48">
        <v>-1.5800000000000002E-2</v>
      </c>
      <c r="D42" s="49">
        <v>24318.400000000001</v>
      </c>
      <c r="E42" s="48">
        <v>-3.1300000000000001E-2</v>
      </c>
      <c r="F42" s="49">
        <v>10558.25</v>
      </c>
      <c r="G42" s="48">
        <v>-1.84E-2</v>
      </c>
      <c r="H42" s="55">
        <v>1322.2</v>
      </c>
      <c r="I42" s="51">
        <f t="shared" si="0"/>
        <v>27176.441879531241</v>
      </c>
      <c r="J42" s="48">
        <v>3.1699999999999999E-2</v>
      </c>
      <c r="K42" s="185">
        <v>6.5250000000000004</v>
      </c>
      <c r="L42" s="48">
        <v>9.2999999999999992E-3</v>
      </c>
      <c r="M42" s="47">
        <v>63.93</v>
      </c>
      <c r="N42" s="56">
        <v>-3.7000000000000002E-3</v>
      </c>
    </row>
    <row r="43" spans="1:14" x14ac:dyDescent="0.35">
      <c r="A43" s="38">
        <v>42979</v>
      </c>
      <c r="B43" s="47">
        <v>9788.6</v>
      </c>
      <c r="C43" s="48">
        <v>-1.2999999999999999E-2</v>
      </c>
      <c r="D43" s="49">
        <v>24053</v>
      </c>
      <c r="E43" s="48">
        <v>-1.09E-2</v>
      </c>
      <c r="F43" s="49">
        <v>10475.35</v>
      </c>
      <c r="G43" s="48">
        <v>-7.9000000000000008E-3</v>
      </c>
      <c r="H43" s="55">
        <v>1284.8</v>
      </c>
      <c r="I43" s="51">
        <f t="shared" si="0"/>
        <v>26975.69855482502</v>
      </c>
      <c r="J43" s="48">
        <v>5.1000000000000004E-3</v>
      </c>
      <c r="K43" s="185">
        <v>6.6630000000000003</v>
      </c>
      <c r="L43" s="48">
        <v>2.1100000000000001E-2</v>
      </c>
      <c r="M43" s="47">
        <v>65.305000000000007</v>
      </c>
      <c r="N43" s="56">
        <v>2.1499999999999998E-2</v>
      </c>
    </row>
    <row r="44" spans="1:14" x14ac:dyDescent="0.35">
      <c r="A44" s="38">
        <v>43009</v>
      </c>
      <c r="B44" s="47">
        <v>10335.299999999999</v>
      </c>
      <c r="C44" s="48">
        <v>5.5899999999999998E-2</v>
      </c>
      <c r="D44" s="49">
        <v>25019.35</v>
      </c>
      <c r="E44" s="48">
        <v>4.02E-2</v>
      </c>
      <c r="F44" s="49">
        <v>10837.9</v>
      </c>
      <c r="G44" s="48">
        <v>3.4599999999999999E-2</v>
      </c>
      <c r="H44" s="55">
        <v>1270.5</v>
      </c>
      <c r="I44" s="51">
        <f t="shared" si="0"/>
        <v>26444.666998890796</v>
      </c>
      <c r="J44" s="48">
        <v>-1.09E-2</v>
      </c>
      <c r="K44" s="185">
        <v>6.8620000000000001</v>
      </c>
      <c r="L44" s="48">
        <v>2.9899999999999999E-2</v>
      </c>
      <c r="M44" s="47">
        <v>64.739999999999995</v>
      </c>
      <c r="N44" s="56">
        <v>-8.6999999999999994E-3</v>
      </c>
    </row>
    <row r="45" spans="1:14" x14ac:dyDescent="0.35">
      <c r="A45" s="38">
        <v>43040</v>
      </c>
      <c r="B45" s="47">
        <v>10226.549999999999</v>
      </c>
      <c r="C45" s="48">
        <v>-1.0500000000000001E-2</v>
      </c>
      <c r="D45" s="49">
        <v>25332.400000000001</v>
      </c>
      <c r="E45" s="48">
        <v>1.2500000000000001E-2</v>
      </c>
      <c r="F45" s="49">
        <v>11115.35</v>
      </c>
      <c r="G45" s="48">
        <v>2.5600000000000001E-2</v>
      </c>
      <c r="H45" s="55">
        <v>1282.1500000000001</v>
      </c>
      <c r="I45" s="51">
        <f t="shared" si="0"/>
        <v>26579.977172986968</v>
      </c>
      <c r="J45" s="48">
        <v>-2.7000000000000001E-3</v>
      </c>
      <c r="K45" s="185">
        <v>7.0579999999999998</v>
      </c>
      <c r="L45" s="48">
        <v>2.86E-2</v>
      </c>
      <c r="M45" s="47">
        <v>64.48</v>
      </c>
      <c r="N45" s="56">
        <v>-4.0000000000000001E-3</v>
      </c>
    </row>
    <row r="46" spans="1:14" x14ac:dyDescent="0.35">
      <c r="A46" s="38">
        <v>43070</v>
      </c>
      <c r="B46" s="47">
        <v>10530.7</v>
      </c>
      <c r="C46" s="48">
        <v>2.9700000000000001E-2</v>
      </c>
      <c r="D46" s="49">
        <v>25539.45</v>
      </c>
      <c r="E46" s="48">
        <v>8.2000000000000007E-3</v>
      </c>
      <c r="F46" s="49">
        <v>11665.75</v>
      </c>
      <c r="G46" s="48">
        <v>4.9500000000000002E-2</v>
      </c>
      <c r="H46" s="55">
        <v>1296.5</v>
      </c>
      <c r="I46" s="51">
        <f t="shared" si="0"/>
        <v>26606.521774076871</v>
      </c>
      <c r="J46" s="48">
        <v>-1.1999999999999999E-3</v>
      </c>
      <c r="K46" s="185">
        <v>7.3259999999999996</v>
      </c>
      <c r="L46" s="48">
        <v>3.7999999999999999E-2</v>
      </c>
      <c r="M46" s="47">
        <v>63.83</v>
      </c>
      <c r="N46" s="56">
        <v>-1.01E-2</v>
      </c>
    </row>
    <row r="47" spans="1:14" x14ac:dyDescent="0.35">
      <c r="A47" s="38">
        <v>43101</v>
      </c>
      <c r="B47" s="47">
        <v>11027.7</v>
      </c>
      <c r="C47" s="48">
        <v>4.7199999999999999E-2</v>
      </c>
      <c r="D47" s="49">
        <v>27379.45</v>
      </c>
      <c r="E47" s="48">
        <v>7.1999999999999995E-2</v>
      </c>
      <c r="F47" s="49">
        <v>12986.4</v>
      </c>
      <c r="G47" s="48">
        <v>0.1132</v>
      </c>
      <c r="H47" s="55">
        <v>1343.35</v>
      </c>
      <c r="I47" s="51">
        <f t="shared" si="0"/>
        <v>27442.71834359477</v>
      </c>
      <c r="J47" s="48">
        <v>3.1300000000000001E-2</v>
      </c>
      <c r="K47" s="185">
        <v>7.43</v>
      </c>
      <c r="L47" s="48">
        <v>1.4200000000000001E-2</v>
      </c>
      <c r="M47" s="47">
        <v>63.54</v>
      </c>
      <c r="N47" s="56">
        <v>-4.4999999999999997E-3</v>
      </c>
    </row>
    <row r="48" spans="1:14" x14ac:dyDescent="0.35">
      <c r="A48" s="38">
        <v>43132</v>
      </c>
      <c r="B48" s="47">
        <v>10492.85</v>
      </c>
      <c r="C48" s="48">
        <v>-4.8500000000000001E-2</v>
      </c>
      <c r="D48" s="49">
        <v>25107.4</v>
      </c>
      <c r="E48" s="48">
        <v>-8.3000000000000004E-2</v>
      </c>
      <c r="F48" s="49">
        <v>12809</v>
      </c>
      <c r="G48" s="48">
        <v>-1.37E-2</v>
      </c>
      <c r="H48" s="55">
        <v>1320.3</v>
      </c>
      <c r="I48" s="51">
        <f t="shared" si="0"/>
        <v>27676.486569035638</v>
      </c>
      <c r="J48" s="48">
        <v>7.9000000000000008E-3</v>
      </c>
      <c r="K48" s="185">
        <v>7.726</v>
      </c>
      <c r="L48" s="48">
        <v>3.9800000000000002E-2</v>
      </c>
      <c r="M48" s="47">
        <v>65.2</v>
      </c>
      <c r="N48" s="56">
        <v>2.6100000000000002E-2</v>
      </c>
    </row>
    <row r="49" spans="1:14" x14ac:dyDescent="0.35">
      <c r="A49" s="38">
        <v>43160</v>
      </c>
      <c r="B49" s="47">
        <v>10113.700000000001</v>
      </c>
      <c r="C49" s="48">
        <v>-3.61E-2</v>
      </c>
      <c r="D49" s="49">
        <v>24263.35</v>
      </c>
      <c r="E49" s="48">
        <v>-3.3599999999999998E-2</v>
      </c>
      <c r="F49" s="49">
        <v>12511.55</v>
      </c>
      <c r="G49" s="48">
        <v>-2.3199999999999998E-2</v>
      </c>
      <c r="H49" s="55">
        <v>1323.9</v>
      </c>
      <c r="I49" s="51">
        <f t="shared" si="0"/>
        <v>27713.642837622774</v>
      </c>
      <c r="J49" s="48">
        <v>5.7000000000000002E-3</v>
      </c>
      <c r="K49" s="185">
        <v>7.3979999999999997</v>
      </c>
      <c r="L49" s="48">
        <v>-4.2500000000000003E-2</v>
      </c>
      <c r="M49" s="47">
        <v>65.11</v>
      </c>
      <c r="N49" s="56">
        <v>-1.4E-3</v>
      </c>
    </row>
    <row r="50" spans="1:14" x14ac:dyDescent="0.35">
      <c r="A50" s="38">
        <v>43191</v>
      </c>
      <c r="B50" s="47">
        <v>10739.35</v>
      </c>
      <c r="C50" s="48">
        <v>6.1899999999999997E-2</v>
      </c>
      <c r="D50" s="49">
        <v>25531.599999999999</v>
      </c>
      <c r="E50" s="48">
        <v>5.2299999999999999E-2</v>
      </c>
      <c r="F50" s="49">
        <v>13986.25</v>
      </c>
      <c r="G50" s="48">
        <v>0.1179</v>
      </c>
      <c r="H50" s="55">
        <v>1316.25</v>
      </c>
      <c r="I50" s="51">
        <f t="shared" si="0"/>
        <v>28120.569228543416</v>
      </c>
      <c r="J50" s="48">
        <v>1.06E-2</v>
      </c>
      <c r="K50" s="185">
        <v>7.7670000000000003</v>
      </c>
      <c r="L50" s="48">
        <v>4.99E-2</v>
      </c>
      <c r="M50" s="47">
        <v>66.45</v>
      </c>
      <c r="N50" s="56">
        <v>2.06E-2</v>
      </c>
    </row>
    <row r="51" spans="1:14" x14ac:dyDescent="0.35">
      <c r="A51" s="38">
        <v>43221</v>
      </c>
      <c r="B51" s="47">
        <v>10736.15</v>
      </c>
      <c r="C51" s="48">
        <v>-2.9999999999999997E-4</v>
      </c>
      <c r="D51" s="49">
        <v>26956.2</v>
      </c>
      <c r="E51" s="48">
        <v>5.5800000000000002E-2</v>
      </c>
      <c r="F51" s="49">
        <v>13666</v>
      </c>
      <c r="G51" s="48">
        <v>-2.29E-2</v>
      </c>
      <c r="H51" s="55">
        <v>1303.5</v>
      </c>
      <c r="I51" s="51">
        <f t="shared" si="0"/>
        <v>28254.688379121319</v>
      </c>
      <c r="J51" s="48">
        <v>1.1999999999999999E-3</v>
      </c>
      <c r="K51" s="185">
        <v>7.8259999999999996</v>
      </c>
      <c r="L51" s="48">
        <v>7.6E-3</v>
      </c>
      <c r="M51" s="47">
        <v>67.42</v>
      </c>
      <c r="N51" s="56">
        <v>1.46E-2</v>
      </c>
    </row>
    <row r="52" spans="1:14" x14ac:dyDescent="0.35">
      <c r="A52" s="38">
        <v>43252</v>
      </c>
      <c r="B52" s="47">
        <v>10714.3</v>
      </c>
      <c r="C52" s="48">
        <v>-2E-3</v>
      </c>
      <c r="D52" s="49">
        <v>26364.2</v>
      </c>
      <c r="E52" s="48">
        <v>-2.1999999999999999E-2</v>
      </c>
      <c r="F52" s="49">
        <v>13989.5</v>
      </c>
      <c r="G52" s="48">
        <v>2.3699999999999999E-2</v>
      </c>
      <c r="H52" s="55">
        <v>1250.55</v>
      </c>
      <c r="I52" s="51">
        <f t="shared" si="0"/>
        <v>27521.065957207389</v>
      </c>
      <c r="J52" s="48">
        <v>-2.35E-2</v>
      </c>
      <c r="K52" s="185">
        <v>7.9029999999999996</v>
      </c>
      <c r="L52" s="48">
        <v>9.7999999999999997E-3</v>
      </c>
      <c r="M52" s="47">
        <v>68.45</v>
      </c>
      <c r="N52" s="56">
        <v>1.5299999999999999E-2</v>
      </c>
    </row>
    <row r="53" spans="1:14" x14ac:dyDescent="0.35">
      <c r="A53" s="38">
        <v>43282</v>
      </c>
      <c r="B53" s="47">
        <v>11356.5</v>
      </c>
      <c r="C53" s="48">
        <v>5.9900000000000002E-2</v>
      </c>
      <c r="D53" s="49">
        <v>27764.15</v>
      </c>
      <c r="E53" s="48">
        <v>5.3100000000000001E-2</v>
      </c>
      <c r="F53" s="49">
        <v>14587.8</v>
      </c>
      <c r="G53" s="48">
        <v>4.2799999999999998E-2</v>
      </c>
      <c r="H53" s="55">
        <v>1219.2</v>
      </c>
      <c r="I53" s="51">
        <f t="shared" si="0"/>
        <v>26831.141189898248</v>
      </c>
      <c r="J53" s="48">
        <v>-2.3099999999999999E-2</v>
      </c>
      <c r="K53" s="185">
        <v>7.7720000000000002</v>
      </c>
      <c r="L53" s="48">
        <v>-1.66E-2</v>
      </c>
      <c r="M53" s="47">
        <v>68.45</v>
      </c>
      <c r="N53" s="56">
        <v>0</v>
      </c>
    </row>
    <row r="54" spans="1:14" x14ac:dyDescent="0.35">
      <c r="A54" s="38">
        <v>43313</v>
      </c>
      <c r="B54" s="47">
        <v>11680.5</v>
      </c>
      <c r="C54" s="48">
        <v>2.8500000000000001E-2</v>
      </c>
      <c r="D54" s="49">
        <v>28061.75</v>
      </c>
      <c r="E54" s="48">
        <v>1.0699999999999999E-2</v>
      </c>
      <c r="F54" s="49">
        <v>15811.4</v>
      </c>
      <c r="G54" s="48">
        <v>8.3900000000000002E-2</v>
      </c>
      <c r="H54" s="55">
        <v>1206.8499999999999</v>
      </c>
      <c r="I54" s="51">
        <f t="shared" si="0"/>
        <v>27548.780683845867</v>
      </c>
      <c r="J54" s="48">
        <v>2.0500000000000001E-2</v>
      </c>
      <c r="K54" s="185">
        <v>7.9509999999999996</v>
      </c>
      <c r="L54" s="48">
        <v>2.3E-2</v>
      </c>
      <c r="M54" s="47">
        <v>71</v>
      </c>
      <c r="N54" s="56">
        <v>3.73E-2</v>
      </c>
    </row>
    <row r="55" spans="1:14" x14ac:dyDescent="0.35">
      <c r="A55" s="38">
        <v>43344</v>
      </c>
      <c r="B55" s="47">
        <v>10930.45</v>
      </c>
      <c r="C55" s="48">
        <v>-6.4199999999999993E-2</v>
      </c>
      <c r="D55" s="49">
        <v>25119.85</v>
      </c>
      <c r="E55" s="48">
        <v>-0.1048</v>
      </c>
      <c r="F55" s="49">
        <v>15838.05</v>
      </c>
      <c r="G55" s="48">
        <v>1.6999999999999999E-3</v>
      </c>
      <c r="H55" s="55">
        <v>1183.5</v>
      </c>
      <c r="I55" s="51">
        <f t="shared" si="0"/>
        <v>27586.525632163582</v>
      </c>
      <c r="J55" s="48">
        <v>-6.9999999999999999E-4</v>
      </c>
      <c r="K55" s="185">
        <v>8.0239999999999991</v>
      </c>
      <c r="L55" s="48">
        <v>9.1999999999999998E-3</v>
      </c>
      <c r="M55" s="47">
        <v>72.5</v>
      </c>
      <c r="N55" s="56">
        <v>2.1100000000000001E-2</v>
      </c>
    </row>
    <row r="56" spans="1:14" x14ac:dyDescent="0.35">
      <c r="A56" s="38">
        <v>43374</v>
      </c>
      <c r="B56" s="47">
        <v>10386.6</v>
      </c>
      <c r="C56" s="48">
        <v>-4.9799999999999997E-2</v>
      </c>
      <c r="D56" s="49">
        <v>25153.25</v>
      </c>
      <c r="E56" s="48">
        <v>1.2999999999999999E-3</v>
      </c>
      <c r="F56" s="49">
        <v>14940.1</v>
      </c>
      <c r="G56" s="48">
        <v>-5.67E-2</v>
      </c>
      <c r="H56" s="55">
        <v>1217.7</v>
      </c>
      <c r="I56" s="51">
        <f t="shared" si="0"/>
        <v>28951.376854694809</v>
      </c>
      <c r="J56" s="48">
        <v>4.9700000000000001E-2</v>
      </c>
      <c r="K56" s="185">
        <v>7.8529999999999998</v>
      </c>
      <c r="L56" s="48">
        <v>-2.1299999999999999E-2</v>
      </c>
      <c r="M56" s="47">
        <v>73.95</v>
      </c>
      <c r="N56" s="56">
        <v>0.02</v>
      </c>
    </row>
    <row r="57" spans="1:14" x14ac:dyDescent="0.35">
      <c r="A57" s="38">
        <v>43405</v>
      </c>
      <c r="B57" s="47">
        <v>10876.75</v>
      </c>
      <c r="C57" s="48">
        <v>4.7199999999999999E-2</v>
      </c>
      <c r="D57" s="49">
        <v>26862.95</v>
      </c>
      <c r="E57" s="48">
        <v>6.8000000000000005E-2</v>
      </c>
      <c r="F57" s="49">
        <v>14638.05</v>
      </c>
      <c r="G57" s="48">
        <v>-2.0199999999999999E-2</v>
      </c>
      <c r="H57" s="55">
        <v>1220.45</v>
      </c>
      <c r="I57" s="51">
        <f t="shared" si="0"/>
        <v>27325.586509556804</v>
      </c>
      <c r="J57" s="48">
        <v>-4.8800000000000003E-2</v>
      </c>
      <c r="K57" s="185">
        <v>7.6070000000000002</v>
      </c>
      <c r="L57" s="48">
        <v>-3.1300000000000001E-2</v>
      </c>
      <c r="M57" s="47">
        <v>69.64</v>
      </c>
      <c r="N57" s="56">
        <v>-5.8299999999999998E-2</v>
      </c>
    </row>
    <row r="58" spans="1:14" x14ac:dyDescent="0.35">
      <c r="A58" s="38">
        <v>43435</v>
      </c>
      <c r="B58" s="47">
        <v>10862.55</v>
      </c>
      <c r="C58" s="48">
        <v>-1.2999999999999999E-3</v>
      </c>
      <c r="D58" s="49">
        <v>27160.2</v>
      </c>
      <c r="E58" s="48">
        <v>1.11E-2</v>
      </c>
      <c r="F58" s="49">
        <v>14440.3</v>
      </c>
      <c r="G58" s="48">
        <v>-1.35E-2</v>
      </c>
      <c r="H58" s="55">
        <v>1281.6500000000001</v>
      </c>
      <c r="I58" s="51">
        <f t="shared" si="0"/>
        <v>28662.875239121</v>
      </c>
      <c r="J58" s="48">
        <v>3.8399999999999997E-2</v>
      </c>
      <c r="K58" s="185">
        <v>7.37</v>
      </c>
      <c r="L58" s="48">
        <v>-3.1199999999999999E-2</v>
      </c>
      <c r="M58" s="47">
        <v>69.56</v>
      </c>
      <c r="N58" s="56">
        <v>-1.1000000000000001E-3</v>
      </c>
    </row>
    <row r="59" spans="1:14" x14ac:dyDescent="0.35">
      <c r="A59" s="38">
        <v>43466</v>
      </c>
      <c r="B59" s="47">
        <v>10830.95</v>
      </c>
      <c r="C59" s="48">
        <v>-2.8999999999999998E-3</v>
      </c>
      <c r="D59" s="49">
        <v>27295.45</v>
      </c>
      <c r="E59" s="48">
        <v>5.0000000000000001E-3</v>
      </c>
      <c r="F59" s="49">
        <v>15499.3</v>
      </c>
      <c r="G59" s="48">
        <v>7.3300000000000004E-2</v>
      </c>
      <c r="H59" s="55">
        <v>1322.5</v>
      </c>
      <c r="I59" s="51">
        <f t="shared" si="0"/>
        <v>30167.465076277593</v>
      </c>
      <c r="J59" s="48">
        <v>4.7399999999999998E-2</v>
      </c>
      <c r="K59" s="185">
        <v>7.4829999999999997</v>
      </c>
      <c r="L59" s="48">
        <v>1.5299999999999999E-2</v>
      </c>
      <c r="M59" s="47">
        <v>70.95</v>
      </c>
      <c r="N59" s="56">
        <v>0.02</v>
      </c>
    </row>
    <row r="60" spans="1:14" x14ac:dyDescent="0.35">
      <c r="A60" s="38">
        <v>43497</v>
      </c>
      <c r="B60" s="47">
        <v>10792.5</v>
      </c>
      <c r="C60" s="48">
        <v>-3.5999999999999999E-3</v>
      </c>
      <c r="D60" s="49">
        <v>26789.9</v>
      </c>
      <c r="E60" s="48">
        <v>-1.8499999999999999E-2</v>
      </c>
      <c r="F60" s="49">
        <v>15732</v>
      </c>
      <c r="G60" s="48">
        <v>1.4999999999999999E-2</v>
      </c>
      <c r="H60" s="55">
        <v>1325.45</v>
      </c>
      <c r="I60" s="51">
        <f t="shared" si="0"/>
        <v>30183.620332116963</v>
      </c>
      <c r="J60" s="48">
        <v>5.1999999999999998E-3</v>
      </c>
      <c r="K60" s="185">
        <v>7.5910000000000002</v>
      </c>
      <c r="L60" s="48">
        <v>1.44E-2</v>
      </c>
      <c r="M60" s="47">
        <v>70.83</v>
      </c>
      <c r="N60" s="56">
        <v>-1.6999999999999999E-3</v>
      </c>
    </row>
    <row r="61" spans="1:14" x14ac:dyDescent="0.35">
      <c r="A61" s="38">
        <v>43525</v>
      </c>
      <c r="B61" s="47">
        <v>11623.9</v>
      </c>
      <c r="C61" s="48">
        <v>7.6999999999999999E-2</v>
      </c>
      <c r="D61" s="49">
        <v>30426.799999999999</v>
      </c>
      <c r="E61" s="48">
        <v>0.1358</v>
      </c>
      <c r="F61" s="49">
        <v>15628.2</v>
      </c>
      <c r="G61" s="48">
        <v>-6.6E-3</v>
      </c>
      <c r="H61" s="55">
        <v>1291.1500000000001</v>
      </c>
      <c r="I61" s="51">
        <f t="shared" si="0"/>
        <v>28717.590303342073</v>
      </c>
      <c r="J61" s="48">
        <v>-4.82E-2</v>
      </c>
      <c r="K61" s="185">
        <v>7.3460000000000001</v>
      </c>
      <c r="L61" s="48">
        <v>-3.2300000000000002E-2</v>
      </c>
      <c r="M61" s="47">
        <v>69.180000000000007</v>
      </c>
      <c r="N61" s="56">
        <v>-2.3300000000000001E-2</v>
      </c>
    </row>
    <row r="62" spans="1:14" x14ac:dyDescent="0.35">
      <c r="A62" s="38">
        <v>43556</v>
      </c>
      <c r="B62" s="47">
        <v>11748.15</v>
      </c>
      <c r="C62" s="48">
        <v>1.0699999999999999E-2</v>
      </c>
      <c r="D62" s="49">
        <v>29764.799999999999</v>
      </c>
      <c r="E62" s="48">
        <v>-2.18E-2</v>
      </c>
      <c r="F62" s="49">
        <v>16705.400000000001</v>
      </c>
      <c r="G62" s="48">
        <v>6.8900000000000003E-2</v>
      </c>
      <c r="H62" s="55">
        <v>1285.1500000000001</v>
      </c>
      <c r="I62" s="51">
        <f t="shared" si="0"/>
        <v>28772.551449193819</v>
      </c>
      <c r="J62" s="48">
        <v>2.5999999999999999E-3</v>
      </c>
      <c r="K62" s="185">
        <v>7.4139999999999997</v>
      </c>
      <c r="L62" s="48">
        <v>9.2999999999999992E-3</v>
      </c>
      <c r="M62" s="47">
        <v>69.635999999999996</v>
      </c>
      <c r="N62" s="56">
        <v>6.6E-3</v>
      </c>
    </row>
    <row r="63" spans="1:14" x14ac:dyDescent="0.35">
      <c r="A63" s="38">
        <v>43586</v>
      </c>
      <c r="B63" s="47">
        <v>11922.8</v>
      </c>
      <c r="C63" s="48">
        <v>1.49E-2</v>
      </c>
      <c r="D63" s="49">
        <v>31375.4</v>
      </c>
      <c r="E63" s="48">
        <v>5.4100000000000002E-2</v>
      </c>
      <c r="F63" s="49">
        <v>16160.65</v>
      </c>
      <c r="G63" s="48">
        <v>-3.2599999999999997E-2</v>
      </c>
      <c r="H63" s="55">
        <v>1296</v>
      </c>
      <c r="I63" s="51">
        <f t="shared" si="0"/>
        <v>28987.965984535502</v>
      </c>
      <c r="J63" s="48">
        <v>8.2000000000000007E-3</v>
      </c>
      <c r="K63" s="185">
        <v>7.032</v>
      </c>
      <c r="L63" s="48">
        <v>-5.1499999999999997E-2</v>
      </c>
      <c r="M63" s="47">
        <v>69.569999999999993</v>
      </c>
      <c r="N63" s="56">
        <v>-8.9999999999999998E-4</v>
      </c>
    </row>
    <row r="64" spans="1:14" x14ac:dyDescent="0.35">
      <c r="A64" s="38">
        <v>43617</v>
      </c>
      <c r="B64" s="47">
        <v>11788.85</v>
      </c>
      <c r="C64" s="48">
        <v>-1.12E-2</v>
      </c>
      <c r="D64" s="49">
        <v>31105.200000000001</v>
      </c>
      <c r="E64" s="48">
        <v>-8.6E-3</v>
      </c>
      <c r="F64" s="49">
        <v>15936.45</v>
      </c>
      <c r="G64" s="48">
        <v>-1.3899999999999999E-2</v>
      </c>
      <c r="H64" s="55">
        <v>1413.2</v>
      </c>
      <c r="I64" s="51">
        <f t="shared" si="0"/>
        <v>31323.165560145961</v>
      </c>
      <c r="J64" s="48">
        <v>5.6300000000000003E-2</v>
      </c>
      <c r="K64" s="185">
        <v>6.8789999999999996</v>
      </c>
      <c r="L64" s="48">
        <v>-2.18E-2</v>
      </c>
      <c r="M64" s="47">
        <v>68.94</v>
      </c>
      <c r="N64" s="56">
        <v>-9.1000000000000004E-3</v>
      </c>
    </row>
    <row r="65" spans="1:14" x14ac:dyDescent="0.35">
      <c r="A65" s="38">
        <v>43647</v>
      </c>
      <c r="B65" s="47">
        <v>11118</v>
      </c>
      <c r="C65" s="48">
        <v>-5.6899999999999999E-2</v>
      </c>
      <c r="D65" s="49">
        <v>28876</v>
      </c>
      <c r="E65" s="48">
        <v>-7.17E-2</v>
      </c>
      <c r="F65" s="49">
        <v>15620.2</v>
      </c>
      <c r="G65" s="48">
        <v>-1.9800000000000002E-2</v>
      </c>
      <c r="H65" s="55">
        <v>1430.55</v>
      </c>
      <c r="I65" s="51">
        <f t="shared" si="0"/>
        <v>31670.928673621936</v>
      </c>
      <c r="J65" s="48">
        <v>2.2599999999999999E-2</v>
      </c>
      <c r="K65" s="185">
        <v>6.3689999999999998</v>
      </c>
      <c r="L65" s="48">
        <v>-7.4099999999999999E-2</v>
      </c>
      <c r="M65" s="47">
        <v>68.86</v>
      </c>
      <c r="N65" s="56">
        <v>-1.1999999999999999E-3</v>
      </c>
    </row>
    <row r="66" spans="1:14" x14ac:dyDescent="0.35">
      <c r="A66" s="38">
        <v>43678</v>
      </c>
      <c r="B66" s="47">
        <v>11023.25</v>
      </c>
      <c r="C66" s="48">
        <v>-8.5000000000000006E-3</v>
      </c>
      <c r="D66" s="49">
        <v>27427.85</v>
      </c>
      <c r="E66" s="48">
        <v>-5.0200000000000002E-2</v>
      </c>
      <c r="F66" s="49">
        <v>16010.4</v>
      </c>
      <c r="G66" s="48">
        <v>2.5000000000000001E-2</v>
      </c>
      <c r="H66" s="55">
        <v>1526.55</v>
      </c>
      <c r="I66" s="51">
        <f t="shared" si="0"/>
        <v>35067.926133714849</v>
      </c>
      <c r="J66" s="48">
        <v>0.10249999999999999</v>
      </c>
      <c r="K66" s="185">
        <v>6.556</v>
      </c>
      <c r="L66" s="48">
        <v>2.9399999999999999E-2</v>
      </c>
      <c r="M66" s="47">
        <v>71.450999999999993</v>
      </c>
      <c r="N66" s="56">
        <v>3.7600000000000001E-2</v>
      </c>
    </row>
    <row r="67" spans="1:14" x14ac:dyDescent="0.35">
      <c r="A67" s="38">
        <v>43709</v>
      </c>
      <c r="B67" s="47">
        <v>11474.45</v>
      </c>
      <c r="C67" s="48">
        <v>4.0899999999999999E-2</v>
      </c>
      <c r="D67" s="49">
        <v>29103.15</v>
      </c>
      <c r="E67" s="48">
        <v>6.1100000000000002E-2</v>
      </c>
      <c r="F67" s="49">
        <v>15540.15</v>
      </c>
      <c r="G67" s="48">
        <v>-2.9399999999999999E-2</v>
      </c>
      <c r="H67" s="55">
        <v>1487.6</v>
      </c>
      <c r="I67" s="51">
        <f t="shared" ref="I67:I121" si="1">(H67/31.1035)*10*M67</f>
        <v>33785.285900300609</v>
      </c>
      <c r="J67" s="48">
        <v>-2.4500000000000001E-2</v>
      </c>
      <c r="K67" s="185">
        <v>6.6950000000000003</v>
      </c>
      <c r="L67" s="48">
        <v>2.12E-2</v>
      </c>
      <c r="M67" s="47">
        <v>70.64</v>
      </c>
      <c r="N67" s="56">
        <v>-1.14E-2</v>
      </c>
    </row>
    <row r="68" spans="1:14" x14ac:dyDescent="0.35">
      <c r="A68" s="38">
        <v>43739</v>
      </c>
      <c r="B68" s="47">
        <v>11877.45</v>
      </c>
      <c r="C68" s="48">
        <v>3.5099999999999999E-2</v>
      </c>
      <c r="D68" s="49">
        <v>30066.25</v>
      </c>
      <c r="E68" s="48">
        <v>3.3099999999999997E-2</v>
      </c>
      <c r="F68" s="49">
        <v>15559.4</v>
      </c>
      <c r="G68" s="48">
        <v>1.1999999999999999E-3</v>
      </c>
      <c r="H68" s="55">
        <v>1506.4</v>
      </c>
      <c r="I68" s="51">
        <f t="shared" si="1"/>
        <v>34375.957432443298</v>
      </c>
      <c r="J68" s="48">
        <v>3.3099999999999997E-2</v>
      </c>
      <c r="K68" s="185">
        <v>6.6429999999999998</v>
      </c>
      <c r="L68" s="48">
        <v>-7.7999999999999996E-3</v>
      </c>
      <c r="M68" s="47">
        <v>70.977999999999994</v>
      </c>
      <c r="N68" s="56">
        <v>4.7999999999999996E-3</v>
      </c>
    </row>
    <row r="69" spans="1:14" x14ac:dyDescent="0.35">
      <c r="A69" s="38">
        <v>43770</v>
      </c>
      <c r="B69" s="47">
        <v>12056.05</v>
      </c>
      <c r="C69" s="48">
        <v>1.4999999999999999E-2</v>
      </c>
      <c r="D69" s="49">
        <v>31946.1</v>
      </c>
      <c r="E69" s="48">
        <v>6.25E-2</v>
      </c>
      <c r="F69" s="49">
        <v>14998.05</v>
      </c>
      <c r="G69" s="48">
        <v>-3.61E-2</v>
      </c>
      <c r="H69" s="55">
        <v>1456.35</v>
      </c>
      <c r="I69" s="51">
        <f t="shared" si="1"/>
        <v>33593.41781471538</v>
      </c>
      <c r="J69" s="48">
        <v>-1.9099999999999999E-2</v>
      </c>
      <c r="K69" s="185">
        <v>6.46</v>
      </c>
      <c r="L69" s="48">
        <v>-2.75E-2</v>
      </c>
      <c r="M69" s="47">
        <v>71.745999999999995</v>
      </c>
      <c r="N69" s="56">
        <v>1.0800000000000001E-2</v>
      </c>
    </row>
    <row r="70" spans="1:14" x14ac:dyDescent="0.35">
      <c r="A70" s="38">
        <v>43800</v>
      </c>
      <c r="B70" s="47">
        <v>12168.45</v>
      </c>
      <c r="C70" s="48">
        <v>9.2999999999999992E-3</v>
      </c>
      <c r="D70" s="49">
        <v>32161.65</v>
      </c>
      <c r="E70" s="48">
        <v>6.7000000000000002E-3</v>
      </c>
      <c r="F70" s="49">
        <v>15652.4</v>
      </c>
      <c r="G70" s="48">
        <v>4.36E-2</v>
      </c>
      <c r="H70" s="55">
        <v>1523</v>
      </c>
      <c r="I70" s="51">
        <f t="shared" si="1"/>
        <v>34936.920282283339</v>
      </c>
      <c r="J70" s="48">
        <v>3.1E-2</v>
      </c>
      <c r="K70" s="185">
        <v>6.5540000000000003</v>
      </c>
      <c r="L70" s="48">
        <v>1.46E-2</v>
      </c>
      <c r="M70" s="47">
        <v>71.349999999999994</v>
      </c>
      <c r="N70" s="56">
        <v>-5.4999999999999997E-3</v>
      </c>
    </row>
    <row r="71" spans="1:14" x14ac:dyDescent="0.35">
      <c r="A71" s="38">
        <v>43831</v>
      </c>
      <c r="B71" s="47">
        <v>11962.1</v>
      </c>
      <c r="C71" s="48">
        <v>-1.7000000000000001E-2</v>
      </c>
      <c r="D71" s="49">
        <v>30833.599999999999</v>
      </c>
      <c r="E71" s="48">
        <v>-4.1300000000000003E-2</v>
      </c>
      <c r="F71" s="49">
        <v>16144.15</v>
      </c>
      <c r="G71" s="48">
        <v>3.1399999999999997E-2</v>
      </c>
      <c r="H71" s="55">
        <v>1580.85</v>
      </c>
      <c r="I71" s="51">
        <f t="shared" si="1"/>
        <v>36360.541096661153</v>
      </c>
      <c r="J71" s="48">
        <v>4.1200000000000001E-2</v>
      </c>
      <c r="K71" s="185">
        <v>6.5990000000000002</v>
      </c>
      <c r="L71" s="48">
        <v>6.8999999999999999E-3</v>
      </c>
      <c r="M71" s="47">
        <v>71.540000000000006</v>
      </c>
      <c r="N71" s="56">
        <v>2.7000000000000001E-3</v>
      </c>
    </row>
    <row r="72" spans="1:14" x14ac:dyDescent="0.35">
      <c r="A72" s="38">
        <v>43862</v>
      </c>
      <c r="B72" s="47">
        <v>11201.75</v>
      </c>
      <c r="C72" s="48">
        <v>-6.3600000000000004E-2</v>
      </c>
      <c r="D72" s="49">
        <v>29147.15</v>
      </c>
      <c r="E72" s="48">
        <v>-5.4699999999999999E-2</v>
      </c>
      <c r="F72" s="49">
        <v>15212.95</v>
      </c>
      <c r="G72" s="48">
        <v>-5.7700000000000001E-2</v>
      </c>
      <c r="H72" s="55">
        <v>1626.35</v>
      </c>
      <c r="I72" s="51">
        <f t="shared" si="1"/>
        <v>37926.815599530601</v>
      </c>
      <c r="J72" s="48">
        <v>4.1799999999999997E-2</v>
      </c>
      <c r="K72" s="185">
        <v>6.3710000000000004</v>
      </c>
      <c r="L72" s="48">
        <v>-3.4599999999999999E-2</v>
      </c>
      <c r="M72" s="47">
        <v>72.534000000000006</v>
      </c>
      <c r="N72" s="56">
        <v>1.3899999999999999E-2</v>
      </c>
    </row>
    <row r="73" spans="1:14" x14ac:dyDescent="0.35">
      <c r="A73" s="38">
        <v>43891</v>
      </c>
      <c r="B73" s="47">
        <v>8597.75</v>
      </c>
      <c r="C73" s="48">
        <v>-0.23250000000000001</v>
      </c>
      <c r="D73" s="49">
        <v>19144</v>
      </c>
      <c r="E73" s="48">
        <v>-0.34320000000000001</v>
      </c>
      <c r="F73" s="49">
        <v>12763.65</v>
      </c>
      <c r="G73" s="48">
        <v>-0.161</v>
      </c>
      <c r="H73" s="55">
        <v>1604.65</v>
      </c>
      <c r="I73" s="51">
        <f t="shared" si="1"/>
        <v>38864.789637822119</v>
      </c>
      <c r="J73" s="48">
        <v>2.2499999999999999E-2</v>
      </c>
      <c r="K73" s="185">
        <v>6.1379999999999999</v>
      </c>
      <c r="L73" s="48">
        <v>-3.6600000000000001E-2</v>
      </c>
      <c r="M73" s="47">
        <v>75.332999999999998</v>
      </c>
      <c r="N73" s="56">
        <v>3.8600000000000002E-2</v>
      </c>
    </row>
    <row r="74" spans="1:14" x14ac:dyDescent="0.35">
      <c r="A74" s="38">
        <v>43922</v>
      </c>
      <c r="B74" s="47">
        <v>9859.9</v>
      </c>
      <c r="C74" s="48">
        <v>0.14680000000000001</v>
      </c>
      <c r="D74" s="49">
        <v>21534.5</v>
      </c>
      <c r="E74" s="48">
        <v>0.1249</v>
      </c>
      <c r="F74" s="49">
        <v>14108.4</v>
      </c>
      <c r="G74" s="48">
        <v>0.10539999999999999</v>
      </c>
      <c r="H74" s="55">
        <v>1716.75</v>
      </c>
      <c r="I74" s="51">
        <f t="shared" si="1"/>
        <v>41438.564711366882</v>
      </c>
      <c r="J74" s="48">
        <v>0.11409999999999999</v>
      </c>
      <c r="K74" s="185">
        <v>6.11</v>
      </c>
      <c r="L74" s="48">
        <v>-4.5999999999999999E-3</v>
      </c>
      <c r="M74" s="47">
        <v>75.076999999999998</v>
      </c>
      <c r="N74" s="56">
        <v>-3.3999999999999998E-3</v>
      </c>
    </row>
    <row r="75" spans="1:14" x14ac:dyDescent="0.35">
      <c r="A75" s="38">
        <v>43952</v>
      </c>
      <c r="B75" s="47">
        <v>9580.2999999999993</v>
      </c>
      <c r="C75" s="48">
        <v>-2.8400000000000002E-2</v>
      </c>
      <c r="D75" s="49">
        <v>19297.25</v>
      </c>
      <c r="E75" s="48">
        <v>-0.10390000000000001</v>
      </c>
      <c r="F75" s="49">
        <v>14010.5</v>
      </c>
      <c r="G75" s="48">
        <v>-6.8999999999999999E-3</v>
      </c>
      <c r="H75" s="55">
        <v>1725.65</v>
      </c>
      <c r="I75" s="51">
        <f t="shared" si="1"/>
        <v>41938.008101982101</v>
      </c>
      <c r="J75" s="48">
        <v>-3.7100000000000001E-2</v>
      </c>
      <c r="K75" s="185">
        <v>6.0129999999999999</v>
      </c>
      <c r="L75" s="48">
        <v>-1.5900000000000001E-2</v>
      </c>
      <c r="M75" s="47">
        <v>75.59</v>
      </c>
      <c r="N75" s="56">
        <v>6.7999999999999996E-3</v>
      </c>
    </row>
    <row r="76" spans="1:14" x14ac:dyDescent="0.35">
      <c r="A76" s="38">
        <v>43983</v>
      </c>
      <c r="B76" s="47">
        <v>10302.1</v>
      </c>
      <c r="C76" s="48">
        <v>7.5300000000000006E-2</v>
      </c>
      <c r="D76" s="49">
        <v>21370.15</v>
      </c>
      <c r="E76" s="48">
        <v>0.1074</v>
      </c>
      <c r="F76" s="49">
        <v>14754.3</v>
      </c>
      <c r="G76" s="48">
        <v>5.3100000000000001E-2</v>
      </c>
      <c r="H76" s="55">
        <v>1770.7</v>
      </c>
      <c r="I76" s="51">
        <f t="shared" si="1"/>
        <v>43004.381500474228</v>
      </c>
      <c r="J76" s="48">
        <v>3.95E-2</v>
      </c>
      <c r="K76" s="185">
        <v>5.8879999999999999</v>
      </c>
      <c r="L76" s="48">
        <v>-2.0799999999999999E-2</v>
      </c>
      <c r="M76" s="47">
        <v>75.540000000000006</v>
      </c>
      <c r="N76" s="56">
        <v>-6.9999999999999999E-4</v>
      </c>
    </row>
    <row r="77" spans="1:14" x14ac:dyDescent="0.35">
      <c r="A77" s="38">
        <v>44013</v>
      </c>
      <c r="B77" s="47">
        <v>11073.45</v>
      </c>
      <c r="C77" s="48">
        <v>7.4899999999999994E-2</v>
      </c>
      <c r="D77" s="49">
        <v>21640.05</v>
      </c>
      <c r="E77" s="48">
        <v>1.26E-2</v>
      </c>
      <c r="F77" s="49">
        <v>18071.849999999999</v>
      </c>
      <c r="G77" s="48">
        <v>0.22489999999999999</v>
      </c>
      <c r="H77" s="55">
        <v>1971.68</v>
      </c>
      <c r="I77" s="51">
        <f t="shared" si="1"/>
        <v>47489.954146639444</v>
      </c>
      <c r="J77" s="48">
        <v>0.10630000000000001</v>
      </c>
      <c r="K77" s="185">
        <v>5.8369999999999997</v>
      </c>
      <c r="L77" s="48">
        <v>-8.6999999999999994E-3</v>
      </c>
      <c r="M77" s="47">
        <v>74.915999999999997</v>
      </c>
      <c r="N77" s="56">
        <v>-8.3000000000000001E-3</v>
      </c>
    </row>
    <row r="78" spans="1:14" x14ac:dyDescent="0.35">
      <c r="A78" s="38">
        <v>44044</v>
      </c>
      <c r="B78" s="47">
        <v>11387.5</v>
      </c>
      <c r="C78" s="48">
        <v>2.8400000000000002E-2</v>
      </c>
      <c r="D78" s="49">
        <v>23754.35</v>
      </c>
      <c r="E78" s="48">
        <v>9.7699999999999995E-2</v>
      </c>
      <c r="F78" s="49">
        <v>17928.849999999999</v>
      </c>
      <c r="G78" s="48">
        <v>-7.9000000000000008E-3</v>
      </c>
      <c r="H78" s="55">
        <v>1970.5</v>
      </c>
      <c r="I78" s="51">
        <f t="shared" si="1"/>
        <v>46408.605783914994</v>
      </c>
      <c r="J78" s="48">
        <v>-3.8199999999999998E-2</v>
      </c>
      <c r="K78" s="185">
        <v>6.0780000000000003</v>
      </c>
      <c r="L78" s="48">
        <v>4.1300000000000003E-2</v>
      </c>
      <c r="M78" s="47">
        <v>73.254000000000005</v>
      </c>
      <c r="N78" s="56">
        <v>-2.2200000000000001E-2</v>
      </c>
    </row>
    <row r="79" spans="1:14" x14ac:dyDescent="0.35">
      <c r="A79" s="38">
        <v>44075</v>
      </c>
      <c r="B79" s="47">
        <v>11247.55</v>
      </c>
      <c r="C79" s="48">
        <v>-1.23E-2</v>
      </c>
      <c r="D79" s="49">
        <v>21451.8</v>
      </c>
      <c r="E79" s="48">
        <v>-9.69E-2</v>
      </c>
      <c r="F79" s="49">
        <v>19951.349999999999</v>
      </c>
      <c r="G79" s="48">
        <v>0.1128</v>
      </c>
      <c r="H79" s="55">
        <v>1893.9</v>
      </c>
      <c r="I79" s="51">
        <f t="shared" si="1"/>
        <v>44790.870480814061</v>
      </c>
      <c r="J79" s="48">
        <v>-2.5600000000000001E-2</v>
      </c>
      <c r="K79" s="185">
        <v>6.0149999999999997</v>
      </c>
      <c r="L79" s="48">
        <v>-1.04E-2</v>
      </c>
      <c r="M79" s="47">
        <v>73.56</v>
      </c>
      <c r="N79" s="56">
        <v>4.1999999999999997E-3</v>
      </c>
    </row>
    <row r="80" spans="1:14" x14ac:dyDescent="0.35">
      <c r="A80" s="38">
        <v>44105</v>
      </c>
      <c r="B80" s="47">
        <v>11642.4</v>
      </c>
      <c r="C80" s="48">
        <v>3.5099999999999999E-2</v>
      </c>
      <c r="D80" s="49">
        <v>23900.9</v>
      </c>
      <c r="E80" s="48">
        <v>0.1142</v>
      </c>
      <c r="F80" s="49">
        <v>20916.849999999999</v>
      </c>
      <c r="G80" s="48">
        <v>4.8399999999999999E-2</v>
      </c>
      <c r="H80" s="55">
        <v>1879.9</v>
      </c>
      <c r="I80" s="51">
        <f t="shared" si="1"/>
        <v>45060.544504637743</v>
      </c>
      <c r="J80" s="48">
        <v>3.2000000000000002E-3</v>
      </c>
      <c r="K80" s="185">
        <v>5.8810000000000002</v>
      </c>
      <c r="L80" s="48">
        <v>-2.23E-2</v>
      </c>
      <c r="M80" s="47">
        <v>74.554000000000002</v>
      </c>
      <c r="N80" s="56">
        <v>1.35E-2</v>
      </c>
    </row>
    <row r="81" spans="1:14" x14ac:dyDescent="0.35">
      <c r="A81" s="38">
        <v>44136</v>
      </c>
      <c r="B81" s="47">
        <v>12968.95</v>
      </c>
      <c r="C81" s="48">
        <v>0.1139</v>
      </c>
      <c r="D81" s="49">
        <v>29609.05</v>
      </c>
      <c r="E81" s="48">
        <v>0.23880000000000001</v>
      </c>
      <c r="F81" s="49">
        <v>21764.9</v>
      </c>
      <c r="G81" s="48">
        <v>4.0500000000000001E-2</v>
      </c>
      <c r="H81" s="55">
        <v>1779.86</v>
      </c>
      <c r="I81" s="51">
        <f t="shared" si="1"/>
        <v>42339.878598871503</v>
      </c>
      <c r="J81" s="48">
        <v>-3.3399999999999999E-2</v>
      </c>
      <c r="K81" s="185">
        <v>5.9109999999999996</v>
      </c>
      <c r="L81" s="48">
        <v>5.1000000000000004E-3</v>
      </c>
      <c r="M81" s="47">
        <v>73.989999999999995</v>
      </c>
      <c r="N81" s="56">
        <v>-7.6E-3</v>
      </c>
    </row>
    <row r="82" spans="1:14" x14ac:dyDescent="0.35">
      <c r="A82" s="38">
        <v>44166</v>
      </c>
      <c r="B82" s="47">
        <v>13981.75</v>
      </c>
      <c r="C82" s="48">
        <v>7.8100000000000003E-2</v>
      </c>
      <c r="D82" s="49">
        <v>31264.05</v>
      </c>
      <c r="E82" s="48">
        <v>5.5899999999999998E-2</v>
      </c>
      <c r="F82" s="49">
        <v>24251.35</v>
      </c>
      <c r="G82" s="48">
        <v>0.1142</v>
      </c>
      <c r="H82" s="55">
        <v>1895.1</v>
      </c>
      <c r="I82" s="51">
        <f t="shared" si="1"/>
        <v>44499.983474528592</v>
      </c>
      <c r="J82" s="48">
        <v>2.12E-2</v>
      </c>
      <c r="K82" s="185">
        <v>5.8940000000000001</v>
      </c>
      <c r="L82" s="48">
        <v>-2.8999999999999998E-3</v>
      </c>
      <c r="M82" s="47">
        <v>73.036000000000001</v>
      </c>
      <c r="N82" s="56">
        <v>-1.29E-2</v>
      </c>
    </row>
    <row r="83" spans="1:14" x14ac:dyDescent="0.35">
      <c r="A83" s="38">
        <v>44197</v>
      </c>
      <c r="B83" s="47">
        <v>13634.6</v>
      </c>
      <c r="C83" s="48">
        <v>-2.4799999999999999E-2</v>
      </c>
      <c r="D83" s="49">
        <v>30565.5</v>
      </c>
      <c r="E83" s="48">
        <v>-2.23E-2</v>
      </c>
      <c r="F83" s="49">
        <v>24645.75</v>
      </c>
      <c r="G83" s="48">
        <v>1.6299999999999999E-2</v>
      </c>
      <c r="H83" s="55">
        <v>1849.7</v>
      </c>
      <c r="I83" s="51">
        <f t="shared" si="1"/>
        <v>43339.362740527591</v>
      </c>
      <c r="J83" s="48">
        <v>-2.5100000000000001E-2</v>
      </c>
      <c r="K83" s="185">
        <v>5.9489999999999998</v>
      </c>
      <c r="L83" s="48">
        <v>9.2999999999999992E-3</v>
      </c>
      <c r="M83" s="47">
        <v>72.876999999999995</v>
      </c>
      <c r="N83" s="56">
        <v>-2.2000000000000001E-3</v>
      </c>
    </row>
    <row r="84" spans="1:14" x14ac:dyDescent="0.35">
      <c r="A84" s="38">
        <v>44228</v>
      </c>
      <c r="B84" s="47">
        <v>14529.15</v>
      </c>
      <c r="C84" s="48">
        <v>6.5600000000000006E-2</v>
      </c>
      <c r="D84" s="49">
        <v>34803.599999999999</v>
      </c>
      <c r="E84" s="48">
        <v>0.13869999999999999</v>
      </c>
      <c r="F84" s="49">
        <v>24301.45</v>
      </c>
      <c r="G84" s="48">
        <v>-1.4E-2</v>
      </c>
      <c r="H84" s="55">
        <v>1728.8</v>
      </c>
      <c r="I84" s="51">
        <f t="shared" si="1"/>
        <v>41086.339479479793</v>
      </c>
      <c r="J84" s="48">
        <v>-5.6300000000000003E-2</v>
      </c>
      <c r="K84" s="185">
        <v>6.2290000000000001</v>
      </c>
      <c r="L84" s="48">
        <v>4.7100000000000003E-2</v>
      </c>
      <c r="M84" s="47">
        <v>73.92</v>
      </c>
      <c r="N84" s="56">
        <v>1.43E-2</v>
      </c>
    </row>
    <row r="85" spans="1:14" x14ac:dyDescent="0.35">
      <c r="A85" s="38">
        <v>44256</v>
      </c>
      <c r="B85" s="47">
        <v>14690.7</v>
      </c>
      <c r="C85" s="48">
        <v>1.11E-2</v>
      </c>
      <c r="D85" s="49">
        <v>33303.9</v>
      </c>
      <c r="E85" s="48">
        <v>-4.3099999999999999E-2</v>
      </c>
      <c r="F85" s="49">
        <v>25855</v>
      </c>
      <c r="G85" s="48">
        <v>6.3899999999999998E-2</v>
      </c>
      <c r="H85" s="55">
        <v>1715.24</v>
      </c>
      <c r="I85" s="51">
        <f t="shared" si="1"/>
        <v>40332.280251418648</v>
      </c>
      <c r="J85" s="48">
        <v>-5.1700000000000003E-2</v>
      </c>
      <c r="K85" s="185">
        <v>6.1769999999999996</v>
      </c>
      <c r="L85" s="48">
        <v>-8.3000000000000001E-3</v>
      </c>
      <c r="M85" s="47">
        <v>73.137</v>
      </c>
      <c r="N85" s="56">
        <v>-1.06E-2</v>
      </c>
    </row>
    <row r="86" spans="1:14" x14ac:dyDescent="0.35">
      <c r="A86" s="38">
        <v>44287</v>
      </c>
      <c r="B86" s="47">
        <v>14631.1</v>
      </c>
      <c r="C86" s="48">
        <v>-4.1000000000000003E-3</v>
      </c>
      <c r="D86" s="49">
        <v>32781.800000000003</v>
      </c>
      <c r="E86" s="48">
        <v>-1.5699999999999999E-2</v>
      </c>
      <c r="F86" s="49">
        <v>25664.45</v>
      </c>
      <c r="G86" s="48">
        <v>-7.4000000000000003E-3</v>
      </c>
      <c r="H86" s="55">
        <v>1767.7</v>
      </c>
      <c r="I86" s="51">
        <f t="shared" si="1"/>
        <v>42084.712331409646</v>
      </c>
      <c r="J86" s="48">
        <v>6.3399999999999998E-2</v>
      </c>
      <c r="K86" s="185">
        <v>6.03</v>
      </c>
      <c r="L86" s="48">
        <v>-2.3800000000000002E-2</v>
      </c>
      <c r="M86" s="47">
        <v>74.05</v>
      </c>
      <c r="N86" s="56">
        <v>1.2500000000000001E-2</v>
      </c>
    </row>
    <row r="87" spans="1:14" x14ac:dyDescent="0.35">
      <c r="A87" s="38">
        <v>44317</v>
      </c>
      <c r="B87" s="47">
        <v>15582.8</v>
      </c>
      <c r="C87" s="48">
        <v>6.5000000000000002E-2</v>
      </c>
      <c r="D87" s="49">
        <v>35526.65</v>
      </c>
      <c r="E87" s="48">
        <v>8.3699999999999997E-2</v>
      </c>
      <c r="F87" s="49">
        <v>27115.05</v>
      </c>
      <c r="G87" s="48">
        <v>5.6500000000000002E-2</v>
      </c>
      <c r="H87" s="55">
        <v>1904.74</v>
      </c>
      <c r="I87" s="51">
        <f t="shared" si="1"/>
        <v>44404.842586847139</v>
      </c>
      <c r="J87" s="48">
        <v>4.9299999999999997E-2</v>
      </c>
      <c r="K87" s="185">
        <v>6.0220000000000002</v>
      </c>
      <c r="L87" s="48">
        <v>-1.2999999999999999E-3</v>
      </c>
      <c r="M87" s="47">
        <v>72.510999999999996</v>
      </c>
      <c r="N87" s="56">
        <v>-2.0799999999999999E-2</v>
      </c>
    </row>
    <row r="88" spans="1:14" x14ac:dyDescent="0.35">
      <c r="A88" s="38">
        <v>44348</v>
      </c>
      <c r="B88" s="47">
        <v>15721.5</v>
      </c>
      <c r="C88" s="48">
        <v>8.8999999999999999E-3</v>
      </c>
      <c r="D88" s="49">
        <v>34772.199999999997</v>
      </c>
      <c r="E88" s="48">
        <v>-2.12E-2</v>
      </c>
      <c r="F88" s="49">
        <v>29168</v>
      </c>
      <c r="G88" s="48">
        <v>7.5700000000000003E-2</v>
      </c>
      <c r="H88" s="55">
        <v>1771.6</v>
      </c>
      <c r="I88" s="51">
        <f t="shared" si="1"/>
        <v>42354.13249312777</v>
      </c>
      <c r="J88" s="48">
        <v>-4.8599999999999997E-2</v>
      </c>
      <c r="K88" s="185">
        <v>6.0510000000000002</v>
      </c>
      <c r="L88" s="48">
        <v>4.7999999999999996E-3</v>
      </c>
      <c r="M88" s="47">
        <v>74.36</v>
      </c>
      <c r="N88" s="56">
        <v>2.5499999999999998E-2</v>
      </c>
    </row>
    <row r="89" spans="1:14" x14ac:dyDescent="0.35">
      <c r="A89" s="38">
        <v>44378</v>
      </c>
      <c r="B89" s="47">
        <v>15763.05</v>
      </c>
      <c r="C89" s="48">
        <v>2.5999999999999999E-3</v>
      </c>
      <c r="D89" s="49">
        <v>34584.35</v>
      </c>
      <c r="E89" s="48">
        <v>-5.4000000000000003E-3</v>
      </c>
      <c r="F89" s="49">
        <v>30480.05</v>
      </c>
      <c r="G89" s="48">
        <v>4.4999999999999998E-2</v>
      </c>
      <c r="H89" s="55">
        <v>1814.12</v>
      </c>
      <c r="I89" s="51">
        <f t="shared" si="1"/>
        <v>43357.25511276866</v>
      </c>
      <c r="J89" s="48">
        <v>3.4599999999999999E-2</v>
      </c>
      <c r="K89" s="185">
        <v>6.2039999999999997</v>
      </c>
      <c r="L89" s="48">
        <v>2.53E-2</v>
      </c>
      <c r="M89" s="47">
        <v>74.337000000000003</v>
      </c>
      <c r="N89" s="56">
        <v>-2.9999999999999997E-4</v>
      </c>
    </row>
    <row r="90" spans="1:14" x14ac:dyDescent="0.35">
      <c r="A90" s="38">
        <v>44409</v>
      </c>
      <c r="B90" s="47">
        <v>17132.2</v>
      </c>
      <c r="C90" s="48">
        <v>8.6900000000000005E-2</v>
      </c>
      <c r="D90" s="49">
        <v>36424.6</v>
      </c>
      <c r="E90" s="48">
        <v>5.3199999999999997E-2</v>
      </c>
      <c r="F90" s="49">
        <v>34570.25</v>
      </c>
      <c r="G90" s="48">
        <v>0.13420000000000001</v>
      </c>
      <c r="H90" s="55">
        <v>1815.8</v>
      </c>
      <c r="I90" s="51">
        <f t="shared" si="1"/>
        <v>42585.934894786762</v>
      </c>
      <c r="J90" s="48">
        <v>-2.5999999999999999E-2</v>
      </c>
      <c r="K90" s="185">
        <v>6.2149999999999999</v>
      </c>
      <c r="L90" s="48">
        <v>1.8E-3</v>
      </c>
      <c r="M90" s="47">
        <v>72.947000000000003</v>
      </c>
      <c r="N90" s="56">
        <v>-1.8700000000000001E-2</v>
      </c>
    </row>
    <row r="91" spans="1:14" x14ac:dyDescent="0.35">
      <c r="A91" s="38">
        <v>44440</v>
      </c>
      <c r="B91" s="47">
        <v>17618.150000000001</v>
      </c>
      <c r="C91" s="48">
        <v>2.8400000000000002E-2</v>
      </c>
      <c r="D91" s="49">
        <v>37425.1</v>
      </c>
      <c r="E91" s="48">
        <v>2.75E-2</v>
      </c>
      <c r="F91" s="49">
        <v>35028</v>
      </c>
      <c r="G91" s="48">
        <v>1.32E-2</v>
      </c>
      <c r="H91" s="55">
        <v>1756.66</v>
      </c>
      <c r="I91" s="51">
        <f t="shared" si="1"/>
        <v>41886.261108878418</v>
      </c>
      <c r="J91" s="48">
        <v>-2.7199999999999998E-2</v>
      </c>
      <c r="K91" s="185">
        <v>6.2229999999999999</v>
      </c>
      <c r="L91" s="48">
        <v>1.2999999999999999E-3</v>
      </c>
      <c r="M91" s="47">
        <v>74.164000000000001</v>
      </c>
      <c r="N91" s="56">
        <v>1.67E-2</v>
      </c>
    </row>
    <row r="92" spans="1:14" x14ac:dyDescent="0.35">
      <c r="A92" s="38">
        <v>44470</v>
      </c>
      <c r="B92" s="47">
        <v>17671.650000000001</v>
      </c>
      <c r="C92" s="48">
        <v>3.0000000000000001E-3</v>
      </c>
      <c r="D92" s="49">
        <v>39115.599999999999</v>
      </c>
      <c r="E92" s="48">
        <v>4.5199999999999997E-2</v>
      </c>
      <c r="F92" s="49">
        <v>34408.75</v>
      </c>
      <c r="G92" s="48">
        <v>-1.77E-2</v>
      </c>
      <c r="H92" s="55">
        <v>1783.9</v>
      </c>
      <c r="I92" s="51">
        <f t="shared" si="1"/>
        <v>42966.504894947524</v>
      </c>
      <c r="J92" s="48">
        <v>4.48E-2</v>
      </c>
      <c r="K92" s="185">
        <v>6.3879999999999999</v>
      </c>
      <c r="L92" s="48">
        <v>2.6499999999999999E-2</v>
      </c>
      <c r="M92" s="47">
        <v>74.915000000000006</v>
      </c>
      <c r="N92" s="56">
        <v>1.01E-2</v>
      </c>
    </row>
    <row r="93" spans="1:14" x14ac:dyDescent="0.35">
      <c r="A93" s="38">
        <v>44501</v>
      </c>
      <c r="B93" s="47">
        <v>16983.2</v>
      </c>
      <c r="C93" s="48">
        <v>-3.9E-2</v>
      </c>
      <c r="D93" s="49">
        <v>35695.300000000003</v>
      </c>
      <c r="E93" s="48">
        <v>-8.7400000000000005E-2</v>
      </c>
      <c r="F93" s="49">
        <v>35043.75</v>
      </c>
      <c r="G93" s="48">
        <v>1.8499999999999999E-2</v>
      </c>
      <c r="H93" s="55">
        <v>1775.92</v>
      </c>
      <c r="I93" s="51">
        <f t="shared" si="1"/>
        <v>42874.220843313451</v>
      </c>
      <c r="J93" s="48">
        <v>2.0000000000000001E-4</v>
      </c>
      <c r="K93" s="185">
        <v>6.3259999999999996</v>
      </c>
      <c r="L93" s="48">
        <v>-9.7000000000000003E-3</v>
      </c>
      <c r="M93" s="47">
        <v>75.09</v>
      </c>
      <c r="N93" s="56">
        <v>2.3E-3</v>
      </c>
    </row>
    <row r="94" spans="1:14" x14ac:dyDescent="0.35">
      <c r="A94" s="38">
        <v>44531</v>
      </c>
      <c r="B94" s="47">
        <v>17354.05</v>
      </c>
      <c r="C94" s="48">
        <v>2.18E-2</v>
      </c>
      <c r="D94" s="49">
        <v>35481.699999999997</v>
      </c>
      <c r="E94" s="48">
        <v>-6.0000000000000001E-3</v>
      </c>
      <c r="F94" s="49">
        <v>38701.050000000003</v>
      </c>
      <c r="G94" s="48">
        <v>0.10440000000000001</v>
      </c>
      <c r="H94" s="55">
        <v>1828.6</v>
      </c>
      <c r="I94" s="51">
        <f t="shared" si="1"/>
        <v>43779.753468259194</v>
      </c>
      <c r="J94" s="48">
        <v>-6.9999999999999999E-4</v>
      </c>
      <c r="K94" s="185">
        <v>6.4539999999999997</v>
      </c>
      <c r="L94" s="48">
        <v>2.0199999999999999E-2</v>
      </c>
      <c r="M94" s="47">
        <v>74.466999999999999</v>
      </c>
      <c r="N94" s="56">
        <v>-8.3000000000000001E-3</v>
      </c>
    </row>
    <row r="95" spans="1:14" x14ac:dyDescent="0.35">
      <c r="A95" s="38">
        <v>44562</v>
      </c>
      <c r="B95" s="47">
        <v>17339.849999999999</v>
      </c>
      <c r="C95" s="48">
        <v>-8.0000000000000004E-4</v>
      </c>
      <c r="D95" s="49">
        <v>37975.35</v>
      </c>
      <c r="E95" s="48">
        <v>7.0300000000000001E-2</v>
      </c>
      <c r="F95" s="49">
        <v>34824.550000000003</v>
      </c>
      <c r="G95" s="48">
        <v>-0.1002</v>
      </c>
      <c r="H95" s="55">
        <v>1796.12</v>
      </c>
      <c r="I95" s="51">
        <f t="shared" si="1"/>
        <v>43037.930612310505</v>
      </c>
      <c r="J95" s="48">
        <v>-5.4999999999999997E-3</v>
      </c>
      <c r="K95" s="185">
        <v>6.6840000000000002</v>
      </c>
      <c r="L95" s="48">
        <v>3.56E-2</v>
      </c>
      <c r="M95" s="47">
        <v>74.528999999999996</v>
      </c>
      <c r="N95" s="56">
        <v>8.0000000000000004E-4</v>
      </c>
    </row>
    <row r="96" spans="1:14" x14ac:dyDescent="0.35">
      <c r="A96" s="38">
        <v>44593</v>
      </c>
      <c r="B96" s="47">
        <v>16793.900000000001</v>
      </c>
      <c r="C96" s="48">
        <v>-3.15E-2</v>
      </c>
      <c r="D96" s="49">
        <v>36205.300000000003</v>
      </c>
      <c r="E96" s="48">
        <v>-4.6600000000000003E-2</v>
      </c>
      <c r="F96" s="49">
        <v>33847.85</v>
      </c>
      <c r="G96" s="48">
        <v>-2.8000000000000001E-2</v>
      </c>
      <c r="H96" s="55">
        <v>1900.7</v>
      </c>
      <c r="I96" s="51">
        <f t="shared" si="1"/>
        <v>46132.925587152575</v>
      </c>
      <c r="J96" s="48">
        <v>5.67E-2</v>
      </c>
      <c r="K96" s="185">
        <v>6.77</v>
      </c>
      <c r="L96" s="48">
        <v>1.29E-2</v>
      </c>
      <c r="M96" s="47">
        <v>75.492999999999995</v>
      </c>
      <c r="N96" s="56">
        <v>1.29E-2</v>
      </c>
    </row>
    <row r="97" spans="1:14" x14ac:dyDescent="0.35">
      <c r="A97" s="38">
        <v>44621</v>
      </c>
      <c r="B97" s="47">
        <v>17464.75</v>
      </c>
      <c r="C97" s="48">
        <v>3.9899999999999998E-2</v>
      </c>
      <c r="D97" s="49">
        <v>36373.599999999999</v>
      </c>
      <c r="E97" s="48">
        <v>4.5999999999999999E-3</v>
      </c>
      <c r="F97" s="49">
        <v>36317.199999999997</v>
      </c>
      <c r="G97" s="48">
        <v>7.2999999999999995E-2</v>
      </c>
      <c r="H97" s="55">
        <v>1953.04</v>
      </c>
      <c r="I97" s="51">
        <f t="shared" si="1"/>
        <v>47659.488173356694</v>
      </c>
      <c r="J97" s="48">
        <v>1.2200000000000001E-2</v>
      </c>
      <c r="K97" s="185">
        <v>6.843</v>
      </c>
      <c r="L97" s="48">
        <v>1.0800000000000001E-2</v>
      </c>
      <c r="M97" s="47">
        <v>75.900999999999996</v>
      </c>
      <c r="N97" s="56">
        <v>5.4000000000000003E-3</v>
      </c>
    </row>
    <row r="98" spans="1:14" x14ac:dyDescent="0.35">
      <c r="A98" s="38">
        <v>44652</v>
      </c>
      <c r="B98" s="47">
        <v>17102.55</v>
      </c>
      <c r="C98" s="48">
        <v>-2.07E-2</v>
      </c>
      <c r="D98" s="49">
        <v>36088.15</v>
      </c>
      <c r="E98" s="48">
        <v>-7.7999999999999996E-3</v>
      </c>
      <c r="F98" s="49">
        <v>31622.400000000001</v>
      </c>
      <c r="G98" s="48">
        <v>-0.1293</v>
      </c>
      <c r="H98" s="55">
        <v>1911.7</v>
      </c>
      <c r="I98" s="51">
        <f t="shared" si="1"/>
        <v>47031.132830710369</v>
      </c>
      <c r="J98" s="48">
        <v>1.52E-2</v>
      </c>
      <c r="K98" s="185">
        <v>7.1390000000000002</v>
      </c>
      <c r="L98" s="48">
        <v>4.3299999999999998E-2</v>
      </c>
      <c r="M98" s="47">
        <v>76.52</v>
      </c>
      <c r="N98" s="56">
        <v>8.2000000000000007E-3</v>
      </c>
    </row>
    <row r="99" spans="1:14" x14ac:dyDescent="0.35">
      <c r="A99" s="38">
        <v>44682</v>
      </c>
      <c r="B99" s="47">
        <v>16584.55</v>
      </c>
      <c r="C99" s="48">
        <v>-3.0300000000000001E-2</v>
      </c>
      <c r="D99" s="49">
        <v>35487.4</v>
      </c>
      <c r="E99" s="48">
        <v>-1.66E-2</v>
      </c>
      <c r="F99" s="49">
        <v>29679.05</v>
      </c>
      <c r="G99" s="48">
        <v>-6.1499999999999999E-2</v>
      </c>
      <c r="H99" s="55">
        <v>1847.26</v>
      </c>
      <c r="I99" s="51">
        <f t="shared" si="1"/>
        <v>46068.806063626274</v>
      </c>
      <c r="J99" s="48">
        <v>-1.8800000000000001E-2</v>
      </c>
      <c r="K99" s="185">
        <v>7.415</v>
      </c>
      <c r="L99" s="48">
        <v>3.8699999999999998E-2</v>
      </c>
      <c r="M99" s="47">
        <v>77.569000000000003</v>
      </c>
      <c r="N99" s="56">
        <v>1.37E-2</v>
      </c>
    </row>
    <row r="100" spans="1:14" x14ac:dyDescent="0.35">
      <c r="A100" s="38">
        <v>44713</v>
      </c>
      <c r="B100" s="47">
        <v>15780.25</v>
      </c>
      <c r="C100" s="48">
        <v>-4.8500000000000001E-2</v>
      </c>
      <c r="D100" s="49">
        <v>33425.1</v>
      </c>
      <c r="E100" s="48">
        <v>-5.8099999999999999E-2</v>
      </c>
      <c r="F100" s="49">
        <v>27843.35</v>
      </c>
      <c r="G100" s="48">
        <v>-6.1899999999999997E-2</v>
      </c>
      <c r="H100" s="55">
        <v>1817.45</v>
      </c>
      <c r="I100" s="51">
        <f t="shared" si="1"/>
        <v>46132.325140257533</v>
      </c>
      <c r="J100" s="48">
        <v>-4.3E-3</v>
      </c>
      <c r="K100" s="185">
        <v>7.45</v>
      </c>
      <c r="L100" s="48">
        <v>4.7000000000000002E-3</v>
      </c>
      <c r="M100" s="47">
        <v>78.95</v>
      </c>
      <c r="N100" s="56">
        <v>1.78E-2</v>
      </c>
    </row>
    <row r="101" spans="1:14" x14ac:dyDescent="0.35">
      <c r="A101" s="38">
        <v>44743</v>
      </c>
      <c r="B101" s="47">
        <v>17158.25</v>
      </c>
      <c r="C101" s="48">
        <v>8.7300000000000003E-2</v>
      </c>
      <c r="D101" s="49">
        <v>37491.4</v>
      </c>
      <c r="E101" s="48">
        <v>0.1217</v>
      </c>
      <c r="F101" s="49">
        <v>29152.3</v>
      </c>
      <c r="G101" s="48">
        <v>4.7E-2</v>
      </c>
      <c r="H101" s="55">
        <v>1766.43</v>
      </c>
      <c r="I101" s="51">
        <f t="shared" si="1"/>
        <v>45056.501834198716</v>
      </c>
      <c r="J101" s="48">
        <v>6.8999999999999999E-3</v>
      </c>
      <c r="K101" s="185">
        <v>7.32</v>
      </c>
      <c r="L101" s="48">
        <v>-1.7399999999999999E-2</v>
      </c>
      <c r="M101" s="47">
        <v>79.335999999999999</v>
      </c>
      <c r="N101" s="56">
        <v>4.8999999999999998E-3</v>
      </c>
    </row>
    <row r="102" spans="1:14" x14ac:dyDescent="0.35">
      <c r="A102" s="38">
        <v>44774</v>
      </c>
      <c r="B102" s="47">
        <v>17759.3</v>
      </c>
      <c r="C102" s="48">
        <v>3.5000000000000003E-2</v>
      </c>
      <c r="D102" s="49">
        <v>39536.75</v>
      </c>
      <c r="E102" s="48">
        <v>5.4600000000000003E-2</v>
      </c>
      <c r="F102" s="49">
        <v>28407.9</v>
      </c>
      <c r="G102" s="48">
        <v>-2.5499999999999998E-2</v>
      </c>
      <c r="H102" s="55">
        <v>1708.58</v>
      </c>
      <c r="I102" s="51">
        <f t="shared" si="1"/>
        <v>43666.060983490606</v>
      </c>
      <c r="J102" s="48">
        <v>-3.5999999999999999E-3</v>
      </c>
      <c r="K102" s="185">
        <v>7.1879999999999997</v>
      </c>
      <c r="L102" s="48">
        <v>-1.7999999999999999E-2</v>
      </c>
      <c r="M102" s="47">
        <v>79.491</v>
      </c>
      <c r="N102" s="56">
        <v>2E-3</v>
      </c>
    </row>
    <row r="103" spans="1:14" x14ac:dyDescent="0.35">
      <c r="A103" s="38">
        <v>44805</v>
      </c>
      <c r="B103" s="47">
        <v>17094.349999999999</v>
      </c>
      <c r="C103" s="48">
        <v>-3.7400000000000003E-2</v>
      </c>
      <c r="D103" s="49">
        <v>38631.949999999997</v>
      </c>
      <c r="E103" s="48">
        <v>-2.29E-2</v>
      </c>
      <c r="F103" s="49">
        <v>26981.15</v>
      </c>
      <c r="G103" s="48">
        <v>-5.0200000000000002E-2</v>
      </c>
      <c r="H103" s="55">
        <v>1660.88</v>
      </c>
      <c r="I103" s="51">
        <f t="shared" si="1"/>
        <v>43524.576951146984</v>
      </c>
      <c r="J103" s="48">
        <v>-1.6899999999999998E-2</v>
      </c>
      <c r="K103" s="185">
        <v>7.3979999999999997</v>
      </c>
      <c r="L103" s="48">
        <v>2.92E-2</v>
      </c>
      <c r="M103" s="47">
        <v>81.509</v>
      </c>
      <c r="N103" s="56">
        <v>2.5399999999999999E-2</v>
      </c>
    </row>
    <row r="104" spans="1:14" x14ac:dyDescent="0.35">
      <c r="A104" s="38">
        <v>44835</v>
      </c>
      <c r="B104" s="47">
        <v>18012.2</v>
      </c>
      <c r="C104" s="48">
        <v>5.3699999999999998E-2</v>
      </c>
      <c r="D104" s="49">
        <v>41307.9</v>
      </c>
      <c r="E104" s="48">
        <v>6.93E-2</v>
      </c>
      <c r="F104" s="49">
        <v>28727.599999999999</v>
      </c>
      <c r="G104" s="48">
        <v>6.4699999999999994E-2</v>
      </c>
      <c r="H104" s="55">
        <v>1632.38</v>
      </c>
      <c r="I104" s="51">
        <f t="shared" si="1"/>
        <v>43439.514073978811</v>
      </c>
      <c r="J104" s="48">
        <v>1.6000000000000001E-3</v>
      </c>
      <c r="K104" s="185">
        <v>7.4450000000000003</v>
      </c>
      <c r="L104" s="48">
        <v>6.4000000000000003E-3</v>
      </c>
      <c r="M104" s="47">
        <v>82.77</v>
      </c>
      <c r="N104" s="56">
        <v>1.55E-2</v>
      </c>
    </row>
    <row r="105" spans="1:14" x14ac:dyDescent="0.35">
      <c r="A105" s="38">
        <v>44866</v>
      </c>
      <c r="B105" s="47">
        <v>18758.349999999999</v>
      </c>
      <c r="C105" s="48">
        <v>4.1399999999999999E-2</v>
      </c>
      <c r="D105" s="49">
        <v>43231</v>
      </c>
      <c r="E105" s="48">
        <v>4.6600000000000003E-2</v>
      </c>
      <c r="F105" s="49">
        <v>30391.7</v>
      </c>
      <c r="G105" s="48">
        <v>5.79E-2</v>
      </c>
      <c r="H105" s="55">
        <v>1768.61</v>
      </c>
      <c r="I105" s="51">
        <f t="shared" si="1"/>
        <v>46262.427376340282</v>
      </c>
      <c r="J105" s="48">
        <v>4.3299999999999998E-2</v>
      </c>
      <c r="K105" s="185">
        <v>7.28</v>
      </c>
      <c r="L105" s="48">
        <v>-2.2200000000000001E-2</v>
      </c>
      <c r="M105" s="47">
        <v>81.358999999999995</v>
      </c>
      <c r="N105" s="56">
        <v>-1.7000000000000001E-2</v>
      </c>
    </row>
    <row r="106" spans="1:14" x14ac:dyDescent="0.35">
      <c r="A106" s="38">
        <v>44896</v>
      </c>
      <c r="B106" s="47">
        <v>18105.3</v>
      </c>
      <c r="C106" s="48">
        <v>-3.4799999999999998E-2</v>
      </c>
      <c r="D106" s="49">
        <v>42986.45</v>
      </c>
      <c r="E106" s="48">
        <v>-5.7000000000000002E-3</v>
      </c>
      <c r="F106" s="49">
        <v>28621.7</v>
      </c>
      <c r="G106" s="48">
        <v>-5.8200000000000002E-2</v>
      </c>
      <c r="H106" s="55">
        <v>1824.32</v>
      </c>
      <c r="I106" s="51">
        <f t="shared" si="1"/>
        <v>48516.172597939134</v>
      </c>
      <c r="J106" s="48">
        <v>3.7499999999999999E-2</v>
      </c>
      <c r="K106" s="185">
        <v>7.327</v>
      </c>
      <c r="L106" s="48">
        <v>6.4999999999999997E-3</v>
      </c>
      <c r="M106" s="47">
        <v>82.716999999999999</v>
      </c>
      <c r="N106" s="56">
        <v>1.67E-2</v>
      </c>
    </row>
    <row r="107" spans="1:14" x14ac:dyDescent="0.35">
      <c r="A107" s="38">
        <v>44927</v>
      </c>
      <c r="B107" s="47">
        <v>17662.150000000001</v>
      </c>
      <c r="C107" s="48">
        <v>-2.4500000000000001E-2</v>
      </c>
      <c r="D107" s="49">
        <v>40655.050000000003</v>
      </c>
      <c r="E107" s="48">
        <v>-5.4199999999999998E-2</v>
      </c>
      <c r="F107" s="49">
        <v>29740.35</v>
      </c>
      <c r="G107" s="48">
        <v>3.9100000000000003E-2</v>
      </c>
      <c r="H107" s="55">
        <v>1928.12</v>
      </c>
      <c r="I107" s="51">
        <f t="shared" si="1"/>
        <v>50670.37493529667</v>
      </c>
      <c r="J107" s="48">
        <v>4.02E-2</v>
      </c>
      <c r="K107" s="185">
        <v>7.343</v>
      </c>
      <c r="L107" s="48">
        <v>2.2000000000000001E-3</v>
      </c>
      <c r="M107" s="47">
        <v>81.739000000000004</v>
      </c>
      <c r="N107" s="56">
        <v>-1.18E-2</v>
      </c>
    </row>
    <row r="108" spans="1:14" x14ac:dyDescent="0.35">
      <c r="A108" s="38">
        <v>44958</v>
      </c>
      <c r="B108" s="47">
        <v>17303.95</v>
      </c>
      <c r="C108" s="48">
        <v>-2.0299999999999999E-2</v>
      </c>
      <c r="D108" s="49">
        <v>40269.050000000003</v>
      </c>
      <c r="E108" s="48">
        <v>-9.4999999999999998E-3</v>
      </c>
      <c r="F108" s="49">
        <v>29663.95</v>
      </c>
      <c r="G108" s="48">
        <v>-2.5999999999999999E-3</v>
      </c>
      <c r="H108" s="55">
        <v>1826.74</v>
      </c>
      <c r="I108" s="51">
        <f t="shared" si="1"/>
        <v>48535.307473435467</v>
      </c>
      <c r="J108" s="48">
        <v>-2.5899999999999999E-2</v>
      </c>
      <c r="K108" s="185">
        <v>7.4569999999999999</v>
      </c>
      <c r="L108" s="48">
        <v>1.55E-2</v>
      </c>
      <c r="M108" s="47">
        <v>82.64</v>
      </c>
      <c r="N108" s="56">
        <v>1.0999999999999999E-2</v>
      </c>
    </row>
    <row r="109" spans="1:14" x14ac:dyDescent="0.35">
      <c r="A109" s="38">
        <v>44986</v>
      </c>
      <c r="B109" s="47">
        <v>17359.75</v>
      </c>
      <c r="C109" s="48">
        <v>3.2000000000000002E-3</v>
      </c>
      <c r="D109" s="49">
        <v>40608.65</v>
      </c>
      <c r="E109" s="48">
        <v>8.3999999999999995E-3</v>
      </c>
      <c r="F109" s="49">
        <v>28698.6</v>
      </c>
      <c r="G109" s="48">
        <v>-3.2500000000000001E-2</v>
      </c>
      <c r="H109" s="55">
        <v>1969.55</v>
      </c>
      <c r="I109" s="51">
        <f t="shared" si="1"/>
        <v>52025.729580272317</v>
      </c>
      <c r="J109" s="48">
        <v>7.7200000000000005E-2</v>
      </c>
      <c r="K109" s="185">
        <v>7.3150000000000004</v>
      </c>
      <c r="L109" s="48">
        <v>-1.9E-2</v>
      </c>
      <c r="M109" s="47">
        <v>82.16</v>
      </c>
      <c r="N109" s="56">
        <v>-5.7999999999999996E-3</v>
      </c>
    </row>
    <row r="110" spans="1:14" x14ac:dyDescent="0.35">
      <c r="A110" s="38">
        <v>45017</v>
      </c>
      <c r="B110" s="47">
        <v>18065</v>
      </c>
      <c r="C110" s="48">
        <v>4.0599999999999997E-2</v>
      </c>
      <c r="D110" s="49">
        <v>43233.9</v>
      </c>
      <c r="E110" s="48">
        <v>6.4600000000000005E-2</v>
      </c>
      <c r="F110" s="49">
        <v>27708.2</v>
      </c>
      <c r="G110" s="48">
        <v>-3.4500000000000003E-2</v>
      </c>
      <c r="H110" s="55">
        <v>1990.6</v>
      </c>
      <c r="I110" s="51">
        <f t="shared" si="1"/>
        <v>52300.169434308031</v>
      </c>
      <c r="J110" s="48">
        <v>3.5000000000000001E-3</v>
      </c>
      <c r="K110" s="185">
        <v>7.1159999999999997</v>
      </c>
      <c r="L110" s="48">
        <v>-2.7199999999999998E-2</v>
      </c>
      <c r="M110" s="47">
        <v>81.72</v>
      </c>
      <c r="N110" s="56">
        <v>-5.4000000000000003E-3</v>
      </c>
    </row>
    <row r="111" spans="1:14" x14ac:dyDescent="0.35">
      <c r="A111" s="38">
        <v>45047</v>
      </c>
      <c r="B111" s="47">
        <v>18534.400000000001</v>
      </c>
      <c r="C111" s="48">
        <v>2.5999999999999999E-2</v>
      </c>
      <c r="D111" s="49">
        <v>44128.15</v>
      </c>
      <c r="E111" s="48">
        <v>2.07E-2</v>
      </c>
      <c r="F111" s="49">
        <v>29319.75</v>
      </c>
      <c r="G111" s="48">
        <v>5.8200000000000002E-2</v>
      </c>
      <c r="H111" s="55">
        <v>1965.2</v>
      </c>
      <c r="I111" s="51">
        <f t="shared" si="1"/>
        <v>52239.373703924008</v>
      </c>
      <c r="J111" s="48">
        <v>-2.3E-3</v>
      </c>
      <c r="K111" s="185">
        <v>6.9889999999999999</v>
      </c>
      <c r="L111" s="48">
        <v>-1.78E-2</v>
      </c>
      <c r="M111" s="47">
        <v>82.68</v>
      </c>
      <c r="N111" s="56">
        <v>1.17E-2</v>
      </c>
    </row>
    <row r="112" spans="1:14" x14ac:dyDescent="0.35">
      <c r="A112" s="38">
        <v>45078</v>
      </c>
      <c r="B112" s="47">
        <v>19189.05</v>
      </c>
      <c r="C112" s="48">
        <v>3.5299999999999998E-2</v>
      </c>
      <c r="D112" s="49">
        <v>44747.35</v>
      </c>
      <c r="E112" s="48">
        <v>1.4E-2</v>
      </c>
      <c r="F112" s="49">
        <v>29563</v>
      </c>
      <c r="G112" s="48">
        <v>8.3000000000000001E-3</v>
      </c>
      <c r="H112" s="55">
        <v>1919.57</v>
      </c>
      <c r="I112" s="51">
        <f t="shared" si="1"/>
        <v>50662.922458887253</v>
      </c>
      <c r="J112" s="48">
        <v>-3.56E-2</v>
      </c>
      <c r="K112" s="185">
        <v>7.11</v>
      </c>
      <c r="L112" s="48">
        <v>1.7299999999999999E-2</v>
      </c>
      <c r="M112" s="47">
        <v>82.090999999999994</v>
      </c>
      <c r="N112" s="56">
        <v>-7.1000000000000004E-3</v>
      </c>
    </row>
    <row r="113" spans="1:14" x14ac:dyDescent="0.35">
      <c r="A113" s="38">
        <v>45108</v>
      </c>
      <c r="B113" s="47">
        <v>19753.8</v>
      </c>
      <c r="C113" s="48">
        <v>2.9399999999999999E-2</v>
      </c>
      <c r="D113" s="49">
        <v>45651.1</v>
      </c>
      <c r="E113" s="48">
        <v>2.0199999999999999E-2</v>
      </c>
      <c r="F113" s="49">
        <v>29928.45</v>
      </c>
      <c r="G113" s="48">
        <v>1.24E-2</v>
      </c>
      <c r="H113" s="55">
        <v>1964.34</v>
      </c>
      <c r="I113" s="51">
        <f t="shared" si="1"/>
        <v>51938.631215136556</v>
      </c>
      <c r="J113" s="48">
        <v>2.7400000000000001E-2</v>
      </c>
      <c r="K113" s="185">
        <v>7.1719999999999997</v>
      </c>
      <c r="L113" s="48">
        <v>8.6999999999999994E-3</v>
      </c>
      <c r="M113" s="47">
        <v>82.24</v>
      </c>
      <c r="N113" s="56">
        <v>1.8E-3</v>
      </c>
    </row>
    <row r="114" spans="1:14" x14ac:dyDescent="0.35">
      <c r="A114" s="38">
        <v>45139</v>
      </c>
      <c r="B114" s="47">
        <v>19253.8</v>
      </c>
      <c r="C114" s="48">
        <v>-2.53E-2</v>
      </c>
      <c r="D114" s="49">
        <v>43989.15</v>
      </c>
      <c r="E114" s="48">
        <v>-3.6400000000000002E-2</v>
      </c>
      <c r="F114" s="49">
        <v>31164.9</v>
      </c>
      <c r="G114" s="48">
        <v>4.1300000000000003E-2</v>
      </c>
      <c r="H114" s="55">
        <v>1939.83</v>
      </c>
      <c r="I114" s="51">
        <f t="shared" si="1"/>
        <v>51578.703573552819</v>
      </c>
      <c r="J114" s="48">
        <v>-6.1000000000000004E-3</v>
      </c>
      <c r="K114" s="185">
        <v>7.1660000000000004</v>
      </c>
      <c r="L114" s="48">
        <v>-8.0000000000000004E-4</v>
      </c>
      <c r="M114" s="47">
        <v>82.701999999999998</v>
      </c>
      <c r="N114" s="56">
        <v>5.5999999999999999E-3</v>
      </c>
    </row>
    <row r="115" spans="1:14" x14ac:dyDescent="0.35">
      <c r="A115" s="38">
        <v>45170</v>
      </c>
      <c r="B115" s="47">
        <v>19638.3</v>
      </c>
      <c r="C115" s="48">
        <v>0.02</v>
      </c>
      <c r="D115" s="49">
        <v>44584.55</v>
      </c>
      <c r="E115" s="48">
        <v>1.35E-2</v>
      </c>
      <c r="F115" s="49">
        <v>31784.400000000001</v>
      </c>
      <c r="G115" s="48">
        <v>1.9900000000000001E-2</v>
      </c>
      <c r="H115" s="55">
        <v>1848.49</v>
      </c>
      <c r="I115" s="51">
        <f t="shared" si="1"/>
        <v>49344.969119230955</v>
      </c>
      <c r="J115" s="48">
        <v>-2.1100000000000001E-2</v>
      </c>
      <c r="K115" s="185">
        <v>7.21</v>
      </c>
      <c r="L115" s="48">
        <v>6.1000000000000004E-3</v>
      </c>
      <c r="M115" s="47">
        <v>83.03</v>
      </c>
      <c r="N115" s="56">
        <v>4.0000000000000001E-3</v>
      </c>
    </row>
    <row r="116" spans="1:14" x14ac:dyDescent="0.35">
      <c r="A116" s="38">
        <v>45200</v>
      </c>
      <c r="B116" s="47">
        <v>19079.599999999999</v>
      </c>
      <c r="C116" s="48">
        <v>-2.8400000000000002E-2</v>
      </c>
      <c r="D116" s="49">
        <v>42845.95</v>
      </c>
      <c r="E116" s="48">
        <v>-3.9E-2</v>
      </c>
      <c r="F116" s="49">
        <v>30582.25</v>
      </c>
      <c r="G116" s="48">
        <v>-3.78E-2</v>
      </c>
      <c r="H116" s="55">
        <v>1984.01</v>
      </c>
      <c r="I116" s="51">
        <f t="shared" si="1"/>
        <v>53106.800379378525</v>
      </c>
      <c r="J116" s="48">
        <v>5.62E-2</v>
      </c>
      <c r="K116" s="185">
        <v>7.351</v>
      </c>
      <c r="L116" s="48">
        <v>1.9599999999999999E-2</v>
      </c>
      <c r="M116" s="47">
        <v>83.256</v>
      </c>
      <c r="N116" s="56">
        <v>2.7000000000000001E-3</v>
      </c>
    </row>
    <row r="117" spans="1:14" x14ac:dyDescent="0.35">
      <c r="A117" s="38">
        <v>45231</v>
      </c>
      <c r="B117" s="47">
        <v>20133.150000000001</v>
      </c>
      <c r="C117" s="48">
        <v>5.5199999999999999E-2</v>
      </c>
      <c r="D117" s="49">
        <v>44481.75</v>
      </c>
      <c r="E117" s="48">
        <v>3.8199999999999998E-2</v>
      </c>
      <c r="F117" s="49">
        <v>32582.2</v>
      </c>
      <c r="G117" s="48">
        <v>6.54E-2</v>
      </c>
      <c r="H117" s="55">
        <v>2044.9</v>
      </c>
      <c r="I117" s="51">
        <f t="shared" si="1"/>
        <v>54803.070168952043</v>
      </c>
      <c r="J117" s="48">
        <v>2.0899999999999998E-2</v>
      </c>
      <c r="K117" s="185">
        <v>7.2789999999999999</v>
      </c>
      <c r="L117" s="48">
        <v>-9.7999999999999997E-3</v>
      </c>
      <c r="M117" s="47">
        <v>83.356999999999999</v>
      </c>
      <c r="N117" s="56">
        <v>1.1999999999999999E-3</v>
      </c>
    </row>
    <row r="118" spans="1:14" x14ac:dyDescent="0.35">
      <c r="A118" s="38">
        <v>45261</v>
      </c>
      <c r="B118" s="47">
        <v>21731.4</v>
      </c>
      <c r="C118" s="48">
        <v>7.9399999999999998E-2</v>
      </c>
      <c r="D118" s="49">
        <v>48292.25</v>
      </c>
      <c r="E118" s="48">
        <v>8.5699999999999998E-2</v>
      </c>
      <c r="F118" s="49">
        <v>35515</v>
      </c>
      <c r="G118" s="48">
        <v>0.09</v>
      </c>
      <c r="H118" s="55">
        <v>2062.92</v>
      </c>
      <c r="I118" s="51">
        <f t="shared" si="1"/>
        <v>55175.242271770054</v>
      </c>
      <c r="J118" s="48">
        <v>9.5999999999999992E-3</v>
      </c>
      <c r="K118" s="185">
        <v>7.1760000000000002</v>
      </c>
      <c r="L118" s="48">
        <v>-1.4200000000000001E-2</v>
      </c>
      <c r="M118" s="47">
        <v>83.19</v>
      </c>
      <c r="N118" s="56">
        <v>-2E-3</v>
      </c>
    </row>
    <row r="119" spans="1:14" x14ac:dyDescent="0.35">
      <c r="A119" s="38">
        <v>45292</v>
      </c>
      <c r="B119" s="47">
        <v>21725.7</v>
      </c>
      <c r="C119" s="48">
        <v>-2.9999999999999997E-4</v>
      </c>
      <c r="D119" s="49">
        <v>45996.800000000003</v>
      </c>
      <c r="E119" s="48">
        <v>-4.7500000000000001E-2</v>
      </c>
      <c r="F119" s="49">
        <v>36638.400000000001</v>
      </c>
      <c r="G119" s="48">
        <v>3.1600000000000003E-2</v>
      </c>
      <c r="H119" s="55">
        <v>2039.15</v>
      </c>
      <c r="I119" s="51">
        <f t="shared" si="1"/>
        <v>54477.203289018922</v>
      </c>
      <c r="J119" s="48">
        <v>-5.7999999999999996E-3</v>
      </c>
      <c r="K119" s="185">
        <v>7.1440000000000001</v>
      </c>
      <c r="L119" s="48">
        <v>-4.4999999999999997E-3</v>
      </c>
      <c r="M119" s="47">
        <v>83.094999999999999</v>
      </c>
      <c r="N119" s="56">
        <v>-1.1000000000000001E-3</v>
      </c>
    </row>
    <row r="120" spans="1:14" x14ac:dyDescent="0.35">
      <c r="A120" s="38">
        <v>45323</v>
      </c>
      <c r="B120" s="47">
        <v>21982.799999999999</v>
      </c>
      <c r="C120" s="48">
        <v>1.18E-2</v>
      </c>
      <c r="D120" s="49">
        <v>46120.9</v>
      </c>
      <c r="E120" s="48">
        <v>2.7000000000000001E-3</v>
      </c>
      <c r="F120" s="49">
        <v>37720.400000000001</v>
      </c>
      <c r="G120" s="48">
        <v>2.9499999999999998E-2</v>
      </c>
      <c r="H120" s="55">
        <v>2044.2</v>
      </c>
      <c r="I120" s="51">
        <f t="shared" si="1"/>
        <v>54483.958396964976</v>
      </c>
      <c r="J120" s="48">
        <v>-1.0699999999999999E-2</v>
      </c>
      <c r="K120" s="185">
        <v>7.0780000000000003</v>
      </c>
      <c r="L120" s="48">
        <v>-9.1999999999999998E-3</v>
      </c>
      <c r="M120" s="47">
        <v>82.9</v>
      </c>
      <c r="N120" s="56">
        <v>-2.3E-3</v>
      </c>
    </row>
    <row r="121" spans="1:14" x14ac:dyDescent="0.35">
      <c r="A121" s="38">
        <v>45352</v>
      </c>
      <c r="B121" s="47">
        <v>22326.9</v>
      </c>
      <c r="C121" s="48">
        <v>1.5699999999999999E-2</v>
      </c>
      <c r="D121" s="49">
        <v>47124.6</v>
      </c>
      <c r="E121" s="48">
        <v>2.18E-2</v>
      </c>
      <c r="F121" s="49">
        <v>34898.15</v>
      </c>
      <c r="G121" s="48">
        <v>-7.4800000000000005E-2</v>
      </c>
      <c r="H121" s="55">
        <v>2231.56</v>
      </c>
      <c r="I121" s="51">
        <f t="shared" si="1"/>
        <v>59800.513125532489</v>
      </c>
      <c r="J121" s="48">
        <v>7.2599999999999998E-2</v>
      </c>
      <c r="K121" s="185">
        <v>7.0519999999999996</v>
      </c>
      <c r="L121" s="48">
        <v>-3.7000000000000002E-3</v>
      </c>
      <c r="M121" s="47">
        <v>83.35</v>
      </c>
      <c r="N121" s="56">
        <v>5.4000000000000003E-3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91A36-75E5-47B9-A5F8-A4AAC83F9D10}">
  <dimension ref="A1:N120"/>
  <sheetViews>
    <sheetView topLeftCell="B1" workbookViewId="0">
      <selection activeCell="Z4" sqref="Z4"/>
    </sheetView>
  </sheetViews>
  <sheetFormatPr defaultRowHeight="14.5" x14ac:dyDescent="0.35"/>
  <cols>
    <col min="1" max="1" width="17.26953125" style="22" customWidth="1"/>
    <col min="2" max="2" width="23.6328125" style="22" customWidth="1"/>
    <col min="3" max="3" width="11.08984375" style="22" customWidth="1"/>
    <col min="4" max="4" width="8.7265625" style="22"/>
    <col min="5" max="5" width="12.1796875" style="22" customWidth="1"/>
    <col min="6" max="6" width="12.6328125" style="26" customWidth="1"/>
    <col min="7" max="7" width="10.90625" style="22" customWidth="1"/>
    <col min="8" max="8" width="13" style="22" customWidth="1"/>
    <col min="9" max="9" width="10.7265625" style="26" customWidth="1"/>
    <col min="10" max="10" width="13.08984375" style="26" customWidth="1"/>
    <col min="11" max="11" width="15.453125" style="26" customWidth="1"/>
    <col min="12" max="12" width="20.54296875" style="26" customWidth="1"/>
    <col min="13" max="13" width="15" style="26" customWidth="1"/>
    <col min="14" max="14" width="13" style="26" customWidth="1"/>
    <col min="15" max="16384" width="8.7265625" style="22"/>
  </cols>
  <sheetData>
    <row r="1" spans="1:14" s="22" customFormat="1" ht="15" thickBot="1" x14ac:dyDescent="0.4">
      <c r="A1" s="30" t="s">
        <v>21</v>
      </c>
      <c r="B1" s="30" t="s">
        <v>22</v>
      </c>
      <c r="C1" s="30" t="s">
        <v>23</v>
      </c>
      <c r="E1" s="31" t="s">
        <v>2</v>
      </c>
      <c r="F1" s="32" t="s">
        <v>1</v>
      </c>
      <c r="G1" s="33" t="s">
        <v>12</v>
      </c>
      <c r="H1" s="33" t="s">
        <v>13</v>
      </c>
      <c r="I1" s="33" t="s">
        <v>14</v>
      </c>
      <c r="J1" s="32" t="s">
        <v>15</v>
      </c>
      <c r="K1" s="32" t="s">
        <v>3</v>
      </c>
      <c r="L1" s="33" t="s">
        <v>19</v>
      </c>
      <c r="M1" s="34" t="s">
        <v>20</v>
      </c>
      <c r="N1" s="35" t="s">
        <v>4</v>
      </c>
    </row>
    <row r="2" spans="1:14" s="22" customFormat="1" x14ac:dyDescent="0.35">
      <c r="A2" s="36" t="s">
        <v>1</v>
      </c>
      <c r="B2" s="37" t="s">
        <v>24</v>
      </c>
      <c r="C2" s="37" t="s">
        <v>32</v>
      </c>
      <c r="E2" s="38">
        <v>41760</v>
      </c>
      <c r="F2" s="24">
        <f>MAX(0,MIN(10,(PERCENTILE(Indicators!$K$2:$K$121,0.95)-Table1[[#This Row],[Net FII (cr)]])/(PERCENTILE(Indicators!$K$2:$K$121,0.95)-PERCENTILE(Indicators!$K$2:$K$121,0.05))*10))</f>
        <v>5.832028971472198</v>
      </c>
      <c r="G2" s="24">
        <f>MAX(0,MIN(10,(Indicators!C3-PERCENTILE(Indicators!$C:$C,0.05))/(PERCENTILE(Indicators!$C:$C,0.95)-PERCENTILE(Indicators!$C:$C,0.05))*10))</f>
        <v>10</v>
      </c>
      <c r="H2" s="37">
        <f>MAX(0,MIN(10,(Indicators!D3-PERCENTILE(Indicators!$D:$D,0.05))/(PERCENTILE(Indicators!$D:$D,0.95)-PERCENTILE(Indicators!$D:$D,0.05))*10))</f>
        <v>10</v>
      </c>
      <c r="I2" s="24">
        <f>MAX(0,MIN(10,(Table1[[#This Row],[INDIA VIX]]-PERCENTILE(Indicators!$E$2:$E$121,0.05))/(PERCENTILE(Indicators!$E$2:$E$121,0.95)-PERCENTILE(Indicators!$E$2:$E$121,0.05))*10))</f>
        <v>10</v>
      </c>
      <c r="J2" s="24">
        <f>MAX(0,MIN(10,(Indicators!G3-PERCENTILE(Indicators!$G:$G,0.05))/(PERCENTILE(Indicators!$G:$G,0.95)-PERCENTILE(Indicators!$G:$G,0.05))*10))</f>
        <v>5.5363334451219357</v>
      </c>
      <c r="K2" s="24">
        <f>MAX(0,MIN(10,(Indicators!H3-PERCENTILE(Indicators!$H:$H,0.05))/(PERCENTILE(Indicators!$H:$H,0.95)-PERCENTILE(Indicators!$H:$H,0.05))*10))</f>
        <v>0</v>
      </c>
      <c r="L2" s="24">
        <f>MAX(0,MIN(10,(Indicators!I3-PERCENTILE(Indicators!$I:$I,0.05))/(PERCENTILE(Indicators!$I:$I,0.95)-PERCENTILE(Indicators!$I:$I,0.05))*10))</f>
        <v>1.7853157777281903E-2</v>
      </c>
      <c r="M2" s="24">
        <f>MAX(0,MIN(10,(Indicators!J3-PERCENTILE(Indicators!$J:$J,0.05))/(PERCENTILE(Indicators!$J:$J,0.95)-PERCENTILE(Indicators!$J:$J,0.05))*10))</f>
        <v>5.3717316460407556</v>
      </c>
      <c r="N2" s="24">
        <f>MAX(0,MIN(10,(PERCENTILE(Indicators!$K$2:$K$121,0.95)-Table1[[#This Row],[Net FII (cr)]])/(PERCENTILE(Indicators!$K$2:$K$121,0.95)-PERCENTILE(Indicators!$K$2:$K$121,0.05))*10))</f>
        <v>5.832028971472198</v>
      </c>
    </row>
    <row r="3" spans="1:14" s="22" customFormat="1" x14ac:dyDescent="0.35">
      <c r="A3" s="36" t="s">
        <v>12</v>
      </c>
      <c r="B3" s="37" t="s">
        <v>25</v>
      </c>
      <c r="C3" s="37" t="s">
        <v>33</v>
      </c>
      <c r="E3" s="38">
        <v>41791</v>
      </c>
      <c r="F3" s="24">
        <f>MAX(0,MIN(10,(PERCENTILE(Indicators!$K$2:$K$121,0.95)-Table1[[#This Row],[Net FII (cr)]])/(PERCENTILE(Indicators!$K$2:$K$121,0.95)-PERCENTILE(Indicators!$K$2:$K$121,0.05))*10))</f>
        <v>2.075466811403913</v>
      </c>
      <c r="G3" s="24">
        <f>MAX(0,MIN(10,(Indicators!C4-PERCENTILE(Indicators!$C:$C,0.05))/(PERCENTILE(Indicators!$C:$C,0.95)-PERCENTILE(Indicators!$C:$C,0.05))*10))</f>
        <v>9.6905802543286192</v>
      </c>
      <c r="H3" s="37">
        <f>MAX(0,MIN(10,(Indicators!D4-PERCENTILE(Indicators!$D:$D,0.05))/(PERCENTILE(Indicators!$D:$D,0.95)-PERCENTILE(Indicators!$D:$D,0.05))*10))</f>
        <v>10</v>
      </c>
      <c r="I3" s="24">
        <f>MAX(0,MIN(10,(Table1[[#This Row],[INDIA VIX]]-PERCENTILE(Indicators!$E$2:$E$121,0.05))/(PERCENTILE(Indicators!$E$2:$E$121,0.95)-PERCENTILE(Indicators!$E$2:$E$121,0.05))*10))</f>
        <v>2.802467351704101</v>
      </c>
      <c r="J3" s="24">
        <f>MAX(0,MIN(10,(Indicators!G4-PERCENTILE(Indicators!$G:$G,0.05))/(PERCENTILE(Indicators!$G:$G,0.95)-PERCENTILE(Indicators!$G:$G,0.05))*10))</f>
        <v>5.7319257907836914</v>
      </c>
      <c r="K3" s="24">
        <f>MAX(0,MIN(10,(Indicators!H4-PERCENTILE(Indicators!$H:$H,0.05))/(PERCENTILE(Indicators!$H:$H,0.95)-PERCENTILE(Indicators!$H:$H,0.05))*10))</f>
        <v>0.25984911986588632</v>
      </c>
      <c r="L3" s="24">
        <f>MAX(0,MIN(10,(Indicators!I4-PERCENTILE(Indicators!$I:$I,0.05))/(PERCENTILE(Indicators!$I:$I,0.95)-PERCENTILE(Indicators!$I:$I,0.05))*10))</f>
        <v>7.5608123186788667</v>
      </c>
      <c r="M3" s="24">
        <f>MAX(0,MIN(10,(Indicators!J4-PERCENTILE(Indicators!$J:$J,0.05))/(PERCENTILE(Indicators!$J:$J,0.95)-PERCENTILE(Indicators!$J:$J,0.05))*10))</f>
        <v>6.165751682640118</v>
      </c>
      <c r="N3" s="24">
        <f>MAX(0,MIN(10,(PERCENTILE(Indicators!$K$2:$K$121,0.95)-Table1[[#This Row],[Net FII (cr)]])/(PERCENTILE(Indicators!$K$2:$K$121,0.95)-PERCENTILE(Indicators!$K$2:$K$121,0.05))*10))</f>
        <v>2.075466811403913</v>
      </c>
    </row>
    <row r="4" spans="1:14" s="22" customFormat="1" x14ac:dyDescent="0.35">
      <c r="A4" s="36" t="s">
        <v>13</v>
      </c>
      <c r="B4" s="37" t="s">
        <v>26</v>
      </c>
      <c r="C4" s="37" t="s">
        <v>33</v>
      </c>
      <c r="E4" s="38">
        <v>41821</v>
      </c>
      <c r="F4" s="24">
        <f>MAX(0,MIN(10,(PERCENTILE(Indicators!$K$2:$K$121,0.95)-Table1[[#This Row],[Net FII (cr)]])/(PERCENTILE(Indicators!$K$2:$K$121,0.95)-PERCENTILE(Indicators!$K$2:$K$121,0.05))*10))</f>
        <v>2.4215074444341838</v>
      </c>
      <c r="G4" s="24">
        <f>MAX(0,MIN(10,(Indicators!C5-PERCENTILE(Indicators!$C:$C,0.05))/(PERCENTILE(Indicators!$C:$C,0.95)-PERCENTILE(Indicators!$C:$C,0.05))*10))</f>
        <v>10</v>
      </c>
      <c r="H4" s="37">
        <f>MAX(0,MIN(10,(Indicators!D5-PERCENTILE(Indicators!$D:$D,0.05))/(PERCENTILE(Indicators!$D:$D,0.95)-PERCENTILE(Indicators!$D:$D,0.05))*10))</f>
        <v>10</v>
      </c>
      <c r="I4" s="24">
        <f>MAX(0,MIN(10,(Table1[[#This Row],[INDIA VIX]]-PERCENTILE(Indicators!$E$2:$E$121,0.05))/(PERCENTILE(Indicators!$E$2:$E$121,0.95)-PERCENTILE(Indicators!$E$2:$E$121,0.05))*10))</f>
        <v>3.7379921963537344</v>
      </c>
      <c r="J4" s="24">
        <f>MAX(0,MIN(10,(Indicators!G5-PERCENTILE(Indicators!$G:$G,0.05))/(PERCENTILE(Indicators!$G:$G,0.95)-PERCENTILE(Indicators!$G:$G,0.05))*10))</f>
        <v>5.308229223904025</v>
      </c>
      <c r="K4" s="24">
        <f>MAX(0,MIN(10,(Indicators!H5-PERCENTILE(Indicators!$H:$H,0.05))/(PERCENTILE(Indicators!$H:$H,0.95)-PERCENTILE(Indicators!$H:$H,0.05))*10))</f>
        <v>0.17602682313495766</v>
      </c>
      <c r="L4" s="24">
        <f>MAX(0,MIN(10,(Indicators!I5-PERCENTILE(Indicators!$I:$I,0.05))/(PERCENTILE(Indicators!$I:$I,0.95)-PERCENTILE(Indicators!$I:$I,0.05))*10))</f>
        <v>6.177192590939522</v>
      </c>
      <c r="M4" s="24">
        <f>MAX(0,MIN(10,(Indicators!J5-PERCENTILE(Indicators!$J:$J,0.05))/(PERCENTILE(Indicators!$J:$J,0.95)-PERCENTILE(Indicators!$J:$J,0.05))*10))</f>
        <v>3.6658292236593164</v>
      </c>
      <c r="N4" s="24">
        <f>MAX(0,MIN(10,(PERCENTILE(Indicators!$K$2:$K$121,0.95)-Table1[[#This Row],[Net FII (cr)]])/(PERCENTILE(Indicators!$K$2:$K$121,0.95)-PERCENTILE(Indicators!$K$2:$K$121,0.05))*10))</f>
        <v>2.4215074444341838</v>
      </c>
    </row>
    <row r="5" spans="1:14" s="22" customFormat="1" x14ac:dyDescent="0.35">
      <c r="A5" s="36" t="s">
        <v>14</v>
      </c>
      <c r="B5" s="37" t="s">
        <v>27</v>
      </c>
      <c r="C5" s="37" t="s">
        <v>33</v>
      </c>
      <c r="E5" s="38">
        <v>41852</v>
      </c>
      <c r="F5" s="24">
        <f>MAX(0,MIN(10,(PERCENTILE(Indicators!$K$2:$K$121,0.95)-Table1[[#This Row],[Net FII (cr)]])/(PERCENTILE(Indicators!$K$2:$K$121,0.95)-PERCENTILE(Indicators!$K$2:$K$121,0.05))*10))</f>
        <v>1.8201872425527499</v>
      </c>
      <c r="G5" s="24">
        <f>MAX(0,MIN(10,(Indicators!C6-PERCENTILE(Indicators!$C:$C,0.05))/(PERCENTILE(Indicators!$C:$C,0.95)-PERCENTILE(Indicators!$C:$C,0.05))*10))</f>
        <v>10</v>
      </c>
      <c r="H5" s="37">
        <f>MAX(0,MIN(10,(Indicators!D6-PERCENTILE(Indicators!$D:$D,0.05))/(PERCENTILE(Indicators!$D:$D,0.95)-PERCENTILE(Indicators!$D:$D,0.05))*10))</f>
        <v>10</v>
      </c>
      <c r="I5" s="24">
        <f>MAX(0,MIN(10,(Table1[[#This Row],[INDIA VIX]]-PERCENTILE(Indicators!$E$2:$E$121,0.05))/(PERCENTILE(Indicators!$E$2:$E$121,0.95)-PERCENTILE(Indicators!$E$2:$E$121,0.05))*10))</f>
        <v>1.2736828494717707</v>
      </c>
      <c r="J5" s="24">
        <f>MAX(0,MIN(10,(Indicators!G6-PERCENTILE(Indicators!$G:$G,0.05))/(PERCENTILE(Indicators!$G:$G,0.95)-PERCENTILE(Indicators!$G:$G,0.05))*10))</f>
        <v>4.5242177588713082</v>
      </c>
      <c r="K5" s="24">
        <f>MAX(0,MIN(10,(Indicators!H6-PERCENTILE(Indicators!$H:$H,0.05))/(PERCENTILE(Indicators!$H:$H,0.95)-PERCENTILE(Indicators!$H:$H,0.05))*10))</f>
        <v>0.34367141659681799</v>
      </c>
      <c r="L5" s="24">
        <f>MAX(0,MIN(10,(Indicators!I6-PERCENTILE(Indicators!$I:$I,0.05))/(PERCENTILE(Indicators!$I:$I,0.95)-PERCENTILE(Indicators!$I:$I,0.05))*10))</f>
        <v>4.146395893773712</v>
      </c>
      <c r="M5" s="24">
        <f>MAX(0,MIN(10,(Indicators!J6-PERCENTILE(Indicators!$J:$J,0.05))/(PERCENTILE(Indicators!$J:$J,0.95)-PERCENTILE(Indicators!$J:$J,0.05))*10))</f>
        <v>4.3947148041313859</v>
      </c>
      <c r="N5" s="24">
        <f>MAX(0,MIN(10,(PERCENTILE(Indicators!$K$2:$K$121,0.95)-Table1[[#This Row],[Net FII (cr)]])/(PERCENTILE(Indicators!$K$2:$K$121,0.95)-PERCENTILE(Indicators!$K$2:$K$121,0.05))*10))</f>
        <v>1.8201872425527499</v>
      </c>
    </row>
    <row r="6" spans="1:14" s="22" customFormat="1" x14ac:dyDescent="0.35">
      <c r="A6" s="36" t="s">
        <v>15</v>
      </c>
      <c r="B6" s="37" t="s">
        <v>29</v>
      </c>
      <c r="C6" s="37" t="s">
        <v>33</v>
      </c>
      <c r="E6" s="38">
        <v>41883</v>
      </c>
      <c r="F6" s="24">
        <f>MAX(0,MIN(10,(PERCENTILE(Indicators!$K$2:$K$121,0.95)-Table1[[#This Row],[Net FII (cr)]])/(PERCENTILE(Indicators!$K$2:$K$121,0.95)-PERCENTILE(Indicators!$K$2:$K$121,0.05))*10))</f>
        <v>3.3865475437083208</v>
      </c>
      <c r="G6" s="24">
        <f>MAX(0,MIN(10,(Indicators!C7-PERCENTILE(Indicators!$C:$C,0.05))/(PERCENTILE(Indicators!$C:$C,0.95)-PERCENTILE(Indicators!$C:$C,0.05))*10))</f>
        <v>6.5720410774698426</v>
      </c>
      <c r="H6" s="37">
        <f>MAX(0,MIN(10,(Indicators!D7-PERCENTILE(Indicators!$D:$D,0.05))/(PERCENTILE(Indicators!$D:$D,0.95)-PERCENTILE(Indicators!$D:$D,0.05))*10))</f>
        <v>10</v>
      </c>
      <c r="I6" s="24">
        <f>MAX(0,MIN(10,(Table1[[#This Row],[INDIA VIX]]-PERCENTILE(Indicators!$E$2:$E$121,0.05))/(PERCENTILE(Indicators!$E$2:$E$121,0.95)-PERCENTILE(Indicators!$E$2:$E$121,0.05))*10))</f>
        <v>0.81428690949747906</v>
      </c>
      <c r="J6" s="24">
        <f>MAX(0,MIN(10,(Indicators!G7-PERCENTILE(Indicators!$G:$G,0.05))/(PERCENTILE(Indicators!$G:$G,0.95)-PERCENTILE(Indicators!$G:$G,0.05))*10))</f>
        <v>3.7457962316502758</v>
      </c>
      <c r="K6" s="24">
        <f>MAX(0,MIN(10,(Indicators!H7-PERCENTILE(Indicators!$H:$H,0.05))/(PERCENTILE(Indicators!$H:$H,0.95)-PERCENTILE(Indicators!$H:$H,0.05))*10))</f>
        <v>0.34367141659681799</v>
      </c>
      <c r="L6" s="24">
        <f>MAX(0,MIN(10,(Indicators!I7-PERCENTILE(Indicators!$I:$I,0.05))/(PERCENTILE(Indicators!$I:$I,0.95)-PERCENTILE(Indicators!$I:$I,0.05))*10))</f>
        <v>9.5469761214014746</v>
      </c>
      <c r="M6" s="24">
        <f>MAX(0,MIN(10,(Indicators!J7-PERCENTILE(Indicators!$J:$J,0.05))/(PERCENTILE(Indicators!$J:$J,0.95)-PERCENTILE(Indicators!$J:$J,0.05))*10))</f>
        <v>2.673304177910115</v>
      </c>
      <c r="N6" s="24">
        <f>MAX(0,MIN(10,(PERCENTILE(Indicators!$K$2:$K$121,0.95)-Table1[[#This Row],[Net FII (cr)]])/(PERCENTILE(Indicators!$K$2:$K$121,0.95)-PERCENTILE(Indicators!$K$2:$K$121,0.05))*10))</f>
        <v>3.3865475437083208</v>
      </c>
    </row>
    <row r="7" spans="1:14" s="22" customFormat="1" x14ac:dyDescent="0.35">
      <c r="A7" s="36" t="s">
        <v>3</v>
      </c>
      <c r="B7" s="37" t="s">
        <v>28</v>
      </c>
      <c r="C7" s="37" t="s">
        <v>33</v>
      </c>
      <c r="E7" s="38">
        <v>41913</v>
      </c>
      <c r="F7" s="24">
        <f>MAX(0,MIN(10,(PERCENTILE(Indicators!$K$2:$K$121,0.95)-Table1[[#This Row],[Net FII (cr)]])/(PERCENTILE(Indicators!$K$2:$K$121,0.95)-PERCENTILE(Indicators!$K$2:$K$121,0.05))*10))</f>
        <v>3.5173966213461911</v>
      </c>
      <c r="G7" s="24">
        <f>MAX(0,MIN(10,(Indicators!C8-PERCENTILE(Indicators!$C:$C,0.05))/(PERCENTILE(Indicators!$C:$C,0.95)-PERCENTILE(Indicators!$C:$C,0.05))*10))</f>
        <v>4.3787143527659023</v>
      </c>
      <c r="H7" s="37">
        <f>MAX(0,MIN(10,(Indicators!D8-PERCENTILE(Indicators!$D:$D,0.05))/(PERCENTILE(Indicators!$D:$D,0.95)-PERCENTILE(Indicators!$D:$D,0.05))*10))</f>
        <v>10</v>
      </c>
      <c r="I7" s="24">
        <f>MAX(0,MIN(10,(Table1[[#This Row],[INDIA VIX]]-PERCENTILE(Indicators!$E$2:$E$121,0.05))/(PERCENTILE(Indicators!$E$2:$E$121,0.95)-PERCENTILE(Indicators!$E$2:$E$121,0.05))*10))</f>
        <v>0.86144344638225667</v>
      </c>
      <c r="J7" s="24">
        <f>MAX(0,MIN(10,(Indicators!G8-PERCENTILE(Indicators!$G:$G,0.05))/(PERCENTILE(Indicators!$G:$G,0.95)-PERCENTILE(Indicators!$G:$G,0.05))*10))</f>
        <v>2.1726628918207709</v>
      </c>
      <c r="K7" s="24">
        <f>MAX(0,MIN(10,(Indicators!H8-PERCENTILE(Indicators!$H:$H,0.05))/(PERCENTILE(Indicators!$H:$H,0.95)-PERCENTILE(Indicators!$H:$H,0.05))*10))</f>
        <v>1.0142497904442622</v>
      </c>
      <c r="L7" s="24">
        <f>MAX(0,MIN(10,(Indicators!I8-PERCENTILE(Indicators!$I:$I,0.05))/(PERCENTILE(Indicators!$I:$I,0.95)-PERCENTILE(Indicators!$I:$I,0.05))*10))</f>
        <v>2.3833965632671279</v>
      </c>
      <c r="M7" s="24">
        <f>MAX(0,MIN(10,(Indicators!J8-PERCENTILE(Indicators!$J:$J,0.05))/(PERCENTILE(Indicators!$J:$J,0.95)-PERCENTILE(Indicators!$J:$J,0.05))*10))</f>
        <v>2.2762941596104342</v>
      </c>
      <c r="N7" s="24">
        <f>MAX(0,MIN(10,(PERCENTILE(Indicators!$K$2:$K$121,0.95)-Table1[[#This Row],[Net FII (cr)]])/(PERCENTILE(Indicators!$K$2:$K$121,0.95)-PERCENTILE(Indicators!$K$2:$K$121,0.05))*10))</f>
        <v>3.5173966213461911</v>
      </c>
    </row>
    <row r="8" spans="1:14" s="22" customFormat="1" x14ac:dyDescent="0.35">
      <c r="A8" s="36" t="s">
        <v>19</v>
      </c>
      <c r="B8" s="37" t="s">
        <v>30</v>
      </c>
      <c r="C8" s="37" t="s">
        <v>33</v>
      </c>
      <c r="E8" s="38">
        <v>41944</v>
      </c>
      <c r="F8" s="24">
        <f>MAX(0,MIN(10,(PERCENTILE(Indicators!$K$2:$K$121,0.95)-Table1[[#This Row],[Net FII (cr)]])/(PERCENTILE(Indicators!$K$2:$K$121,0.95)-PERCENTILE(Indicators!$K$2:$K$121,0.05))*10))</f>
        <v>3.9952997930287388</v>
      </c>
      <c r="G8" s="24">
        <f>MAX(0,MIN(10,(Indicators!C9-PERCENTILE(Indicators!$C:$C,0.05))/(PERCENTILE(Indicators!$C:$C,0.95)-PERCENTILE(Indicators!$C:$C,0.05))*10))</f>
        <v>1.1824258680308288</v>
      </c>
      <c r="H8" s="37">
        <f>MAX(0,MIN(10,(Indicators!D9-PERCENTILE(Indicators!$D:$D,0.05))/(PERCENTILE(Indicators!$D:$D,0.95)-PERCENTILE(Indicators!$D:$D,0.05))*10))</f>
        <v>10</v>
      </c>
      <c r="I8" s="24">
        <f>MAX(0,MIN(10,(Table1[[#This Row],[INDIA VIX]]-PERCENTILE(Indicators!$E$2:$E$121,0.05))/(PERCENTILE(Indicators!$E$2:$E$121,0.95)-PERCENTILE(Indicators!$E$2:$E$121,0.05))*10))</f>
        <v>0.95271416293344069</v>
      </c>
      <c r="J8" s="24">
        <f>MAX(0,MIN(10,(Indicators!G9-PERCENTILE(Indicators!$G:$G,0.05))/(PERCENTILE(Indicators!$G:$G,0.95)-PERCENTILE(Indicators!$G:$G,0.05))*10))</f>
        <v>2.0124755801037182</v>
      </c>
      <c r="K8" s="24">
        <f>MAX(0,MIN(10,(Indicators!H9-PERCENTILE(Indicators!$H:$H,0.05))/(PERCENTILE(Indicators!$H:$H,0.95)-PERCENTILE(Indicators!$H:$H,0.05))*10))</f>
        <v>1.2657166806370512</v>
      </c>
      <c r="L8" s="24">
        <f>MAX(0,MIN(10,(Indicators!I9-PERCENTILE(Indicators!$I:$I,0.05))/(PERCENTILE(Indicators!$I:$I,0.95)-PERCENTILE(Indicators!$I:$I,0.05))*10))</f>
        <v>7.2260656103548317</v>
      </c>
      <c r="M8" s="24">
        <f>MAX(0,MIN(10,(Indicators!J9-PERCENTILE(Indicators!$J:$J,0.05))/(PERCENTILE(Indicators!$J:$J,0.95)-PERCENTILE(Indicators!$J:$J,0.05))*10))</f>
        <v>0</v>
      </c>
      <c r="N8" s="24">
        <f>MAX(0,MIN(10,(PERCENTILE(Indicators!$K$2:$K$121,0.95)-Table1[[#This Row],[Net FII (cr)]])/(PERCENTILE(Indicators!$K$2:$K$121,0.95)-PERCENTILE(Indicators!$K$2:$K$121,0.05))*10))</f>
        <v>3.9952997930287388</v>
      </c>
    </row>
    <row r="9" spans="1:14" s="22" customFormat="1" x14ac:dyDescent="0.35">
      <c r="A9" s="36" t="s">
        <v>20</v>
      </c>
      <c r="B9" s="37" t="s">
        <v>30</v>
      </c>
      <c r="C9" s="37" t="s">
        <v>33</v>
      </c>
      <c r="E9" s="38">
        <v>41974</v>
      </c>
      <c r="F9" s="24">
        <f>MAX(0,MIN(10,(PERCENTILE(Indicators!$K$2:$K$121,0.95)-Table1[[#This Row],[Net FII (cr)]])/(PERCENTILE(Indicators!$K$2:$K$121,0.95)-PERCENTILE(Indicators!$K$2:$K$121,0.05))*10))</f>
        <v>3.009990473466464</v>
      </c>
      <c r="G9" s="24">
        <f>MAX(0,MIN(10,(Indicators!C10-PERCENTILE(Indicators!$C:$C,0.05))/(PERCENTILE(Indicators!$C:$C,0.95)-PERCENTILE(Indicators!$C:$C,0.05))*10))</f>
        <v>3.1757329574119844</v>
      </c>
      <c r="H9" s="37">
        <f>MAX(0,MIN(10,(Indicators!D10-PERCENTILE(Indicators!$D:$D,0.05))/(PERCENTILE(Indicators!$D:$D,0.95)-PERCENTILE(Indicators!$D:$D,0.05))*10))</f>
        <v>10</v>
      </c>
      <c r="I9" s="24">
        <f>MAX(0,MIN(10,(Table1[[#This Row],[INDIA VIX]]-PERCENTILE(Indicators!$E$2:$E$121,0.05))/(PERCENTILE(Indicators!$E$2:$E$121,0.95)-PERCENTILE(Indicators!$E$2:$E$121,0.05))*10))</f>
        <v>0.710846764072804</v>
      </c>
      <c r="J9" s="24">
        <f>MAX(0,MIN(10,(Indicators!G10-PERCENTILE(Indicators!$G:$G,0.05))/(PERCENTILE(Indicators!$G:$G,0.95)-PERCENTILE(Indicators!$G:$G,0.05))*10))</f>
        <v>3.1577126280397501</v>
      </c>
      <c r="K9" s="24">
        <f>MAX(0,MIN(10,(Indicators!H10-PERCENTILE(Indicators!$H:$H,0.05))/(PERCENTILE(Indicators!$H:$H,0.95)-PERCENTILE(Indicators!$H:$H,0.05))*10))</f>
        <v>0.67896060352053855</v>
      </c>
      <c r="L9" s="24">
        <f>MAX(0,MIN(10,(Indicators!I10-PERCENTILE(Indicators!$I:$I,0.05))/(PERCENTILE(Indicators!$I:$I,0.95)-PERCENTILE(Indicators!$I:$I,0.05))*10))</f>
        <v>7.2930149520196395</v>
      </c>
      <c r="M9" s="24">
        <f>MAX(0,MIN(10,(Indicators!J10-PERCENTILE(Indicators!$J:$J,0.05))/(PERCENTILE(Indicators!$J:$J,0.95)-PERCENTILE(Indicators!$J:$J,0.05))*10))</f>
        <v>0</v>
      </c>
      <c r="N9" s="24">
        <f>MAX(0,MIN(10,(PERCENTILE(Indicators!$K$2:$K$121,0.95)-Table1[[#This Row],[Net FII (cr)]])/(PERCENTILE(Indicators!$K$2:$K$121,0.95)-PERCENTILE(Indicators!$K$2:$K$121,0.05))*10))</f>
        <v>3.009990473466464</v>
      </c>
    </row>
    <row r="10" spans="1:14" s="22" customFormat="1" x14ac:dyDescent="0.35">
      <c r="A10" s="36" t="s">
        <v>4</v>
      </c>
      <c r="B10" s="37" t="s">
        <v>31</v>
      </c>
      <c r="C10" s="37" t="s">
        <v>32</v>
      </c>
      <c r="E10" s="38">
        <v>42005</v>
      </c>
      <c r="F10" s="24">
        <f>MAX(0,MIN(10,(PERCENTILE(Indicators!$K$2:$K$121,0.95)-Table1[[#This Row],[Net FII (cr)]])/(PERCENTILE(Indicators!$K$2:$K$121,0.95)-PERCENTILE(Indicators!$K$2:$K$121,0.05))*10))</f>
        <v>4.5024807273497087</v>
      </c>
      <c r="G10" s="24">
        <f>MAX(0,MIN(10,(Indicators!C11-PERCENTILE(Indicators!$C:$C,0.05))/(PERCENTILE(Indicators!$C:$C,0.95)-PERCENTILE(Indicators!$C:$C,0.05))*10))</f>
        <v>5.5291762951577672</v>
      </c>
      <c r="H10" s="37">
        <f>MAX(0,MIN(10,(Indicators!D11-PERCENTILE(Indicators!$D:$D,0.05))/(PERCENTILE(Indicators!$D:$D,0.95)-PERCENTILE(Indicators!$D:$D,0.05))*10))</f>
        <v>10</v>
      </c>
      <c r="I10" s="24">
        <f>MAX(0,MIN(10,(Table1[[#This Row],[INDIA VIX]]-PERCENTILE(Indicators!$E$2:$E$121,0.05))/(PERCENTILE(Indicators!$E$2:$E$121,0.95)-PERCENTILE(Indicators!$E$2:$E$121,0.05))*10))</f>
        <v>2.0631745476395107</v>
      </c>
      <c r="J10" s="24">
        <f>MAX(0,MIN(10,(Indicators!G11-PERCENTILE(Indicators!$G:$G,0.05))/(PERCENTILE(Indicators!$G:$G,0.95)-PERCENTILE(Indicators!$G:$G,0.05))*10))</f>
        <v>2.6735311361731591</v>
      </c>
      <c r="K10" s="24">
        <f>MAX(0,MIN(10,(Indicators!H11-PERCENTILE(Indicators!$H:$H,0.05))/(PERCENTILE(Indicators!$H:$H,0.95)-PERCENTILE(Indicators!$H:$H,0.05))*10))</f>
        <v>1.768650461022635</v>
      </c>
      <c r="L10" s="24">
        <f>MAX(0,MIN(10,(Indicators!I11-PERCENTILE(Indicators!$I:$I,0.05))/(PERCENTILE(Indicators!$I:$I,0.95)-PERCENTILE(Indicators!$I:$I,0.05))*10))</f>
        <v>0.68734657442535141</v>
      </c>
      <c r="M10" s="24">
        <f>MAX(0,MIN(10,(Indicators!J11-PERCENTILE(Indicators!$J:$J,0.05))/(PERCENTILE(Indicators!$J:$J,0.95)-PERCENTILE(Indicators!$J:$J,0.05))*10))</f>
        <v>2.9276387208833481</v>
      </c>
      <c r="N10" s="24">
        <f>MAX(0,MIN(10,(PERCENTILE(Indicators!$K$2:$K$121,0.95)-Table1[[#This Row],[Net FII (cr)]])/(PERCENTILE(Indicators!$K$2:$K$121,0.95)-PERCENTILE(Indicators!$K$2:$K$121,0.05))*10))</f>
        <v>4.5024807273497087</v>
      </c>
    </row>
    <row r="11" spans="1:14" s="22" customFormat="1" x14ac:dyDescent="0.35">
      <c r="E11" s="38">
        <v>42036</v>
      </c>
      <c r="F11" s="24">
        <f>MAX(0,MIN(10,(PERCENTILE(Indicators!$K$2:$K$121,0.95)-Table1[[#This Row],[Net FII (cr)]])/(PERCENTILE(Indicators!$K$2:$K$121,0.95)-PERCENTILE(Indicators!$K$2:$K$121,0.05))*10))</f>
        <v>2.0857140283273607</v>
      </c>
      <c r="G11" s="24">
        <f>MAX(0,MIN(10,(Indicators!C12-PERCENTILE(Indicators!$C:$C,0.05))/(PERCENTILE(Indicators!$C:$C,0.95)-PERCENTILE(Indicators!$C:$C,0.05))*10))</f>
        <v>6.4183557411291039</v>
      </c>
      <c r="H11" s="37">
        <f>MAX(0,MIN(10,(Indicators!D12-PERCENTILE(Indicators!$D:$D,0.05))/(PERCENTILE(Indicators!$D:$D,0.95)-PERCENTILE(Indicators!$D:$D,0.05))*10))</f>
        <v>9.375</v>
      </c>
      <c r="I11" s="24">
        <f>MAX(0,MIN(10,(Table1[[#This Row],[INDIA VIX]]-PERCENTILE(Indicators!$E$2:$E$121,0.05))/(PERCENTILE(Indicators!$E$2:$E$121,0.95)-PERCENTILE(Indicators!$E$2:$E$121,0.05))*10))</f>
        <v>5.1374765168052203</v>
      </c>
      <c r="J11" s="24">
        <f>MAX(0,MIN(10,(Indicators!G12-PERCENTILE(Indicators!$G:$G,0.05))/(PERCENTILE(Indicators!$G:$G,0.95)-PERCENTILE(Indicators!$G:$G,0.05))*10))</f>
        <v>1.525897968766172</v>
      </c>
      <c r="K11" s="24">
        <f>MAX(0,MIN(10,(Indicators!H12-PERCENTILE(Indicators!$H:$H,0.05))/(PERCENTILE(Indicators!$H:$H,0.95)-PERCENTILE(Indicators!$H:$H,0.05))*10))</f>
        <v>2.8583403185247311</v>
      </c>
      <c r="L11" s="24">
        <f>MAX(0,MIN(10,(Indicators!I12-PERCENTILE(Indicators!$I:$I,0.05))/(PERCENTILE(Indicators!$I:$I,0.95)-PERCENTILE(Indicators!$I:$I,0.05))*10))</f>
        <v>3.008257085471993</v>
      </c>
      <c r="M11" s="24">
        <f>MAX(0,MIN(10,(Indicators!J12-PERCENTILE(Indicators!$J:$J,0.05))/(PERCENTILE(Indicators!$J:$J,0.95)-PERCENTILE(Indicators!$J:$J,0.05))*10))</f>
        <v>10</v>
      </c>
      <c r="N11" s="24">
        <f>MAX(0,MIN(10,(PERCENTILE(Indicators!$K$2:$K$121,0.95)-Table1[[#This Row],[Net FII (cr)]])/(PERCENTILE(Indicators!$K$2:$K$121,0.95)-PERCENTILE(Indicators!$K$2:$K$121,0.05))*10))</f>
        <v>2.0857140283273607</v>
      </c>
    </row>
    <row r="12" spans="1:14" s="22" customFormat="1" x14ac:dyDescent="0.35">
      <c r="E12" s="38">
        <v>42064</v>
      </c>
      <c r="F12" s="24">
        <f>MAX(0,MIN(10,(PERCENTILE(Indicators!$K$2:$K$121,0.95)-Table1[[#This Row],[Net FII (cr)]])/(PERCENTILE(Indicators!$K$2:$K$121,0.95)-PERCENTILE(Indicators!$K$2:$K$121,0.05))*10))</f>
        <v>3.1130256765978332</v>
      </c>
      <c r="G12" s="24">
        <f>MAX(0,MIN(10,(Indicators!C13-PERCENTILE(Indicators!$C:$C,0.05))/(PERCENTILE(Indicators!$C:$C,0.95)-PERCENTILE(Indicators!$C:$C,0.05))*10))</f>
        <v>6.1849859692004401</v>
      </c>
      <c r="H12" s="37">
        <f>MAX(0,MIN(10,(Indicators!D13-PERCENTILE(Indicators!$D:$D,0.05))/(PERCENTILE(Indicators!$D:$D,0.95)-PERCENTILE(Indicators!$D:$D,0.05))*10))</f>
        <v>9.375</v>
      </c>
      <c r="I12" s="24">
        <f>MAX(0,MIN(10,(Table1[[#This Row],[INDIA VIX]]-PERCENTILE(Indicators!$E$2:$E$121,0.05))/(PERCENTILE(Indicators!$E$2:$E$121,0.95)-PERCENTILE(Indicators!$E$2:$E$121,0.05))*10))</f>
        <v>3.1888467184374454</v>
      </c>
      <c r="J12" s="24">
        <f>MAX(0,MIN(10,(Indicators!G13-PERCENTILE(Indicators!$G:$G,0.05))/(PERCENTILE(Indicators!$G:$G,0.95)-PERCENTILE(Indicators!$G:$G,0.05))*10))</f>
        <v>2.1623632282861434</v>
      </c>
      <c r="K12" s="24">
        <f>MAX(0,MIN(10,(Indicators!H13-PERCENTILE(Indicators!$H:$H,0.05))/(PERCENTILE(Indicators!$H:$H,0.95)-PERCENTILE(Indicators!$H:$H,0.05))*10))</f>
        <v>1.9362950544844955</v>
      </c>
      <c r="L12" s="24">
        <f>MAX(0,MIN(10,(Indicators!I13-PERCENTILE(Indicators!$I:$I,0.05))/(PERCENTILE(Indicators!$I:$I,0.95)-PERCENTILE(Indicators!$I:$I,0.05))*10))</f>
        <v>6.6012050881499675</v>
      </c>
      <c r="M12" s="24">
        <f>MAX(0,MIN(10,(Indicators!J13-PERCENTILE(Indicators!$J:$J,0.05))/(PERCENTILE(Indicators!$J:$J,0.95)-PERCENTILE(Indicators!$J:$J,0.05))*10))</f>
        <v>1.7893365590397328</v>
      </c>
      <c r="N12" s="24">
        <f>MAX(0,MIN(10,(PERCENTILE(Indicators!$K$2:$K$121,0.95)-Table1[[#This Row],[Net FII (cr)]])/(PERCENTILE(Indicators!$K$2:$K$121,0.95)-PERCENTILE(Indicators!$K$2:$K$121,0.05))*10))</f>
        <v>3.1130256765978332</v>
      </c>
    </row>
    <row r="13" spans="1:14" s="22" customFormat="1" x14ac:dyDescent="0.35">
      <c r="E13" s="38">
        <v>42095</v>
      </c>
      <c r="F13" s="24">
        <f>MAX(0,MIN(10,(PERCENTILE(Indicators!$K$2:$K$121,0.95)-Table1[[#This Row],[Net FII (cr)]])/(PERCENTILE(Indicators!$K$2:$K$121,0.95)-PERCENTILE(Indicators!$K$2:$K$121,0.05))*10))</f>
        <v>3.5453231026320702</v>
      </c>
      <c r="G13" s="24">
        <f>MAX(0,MIN(10,(Indicators!C14-PERCENTILE(Indicators!$C:$C,0.05))/(PERCENTILE(Indicators!$C:$C,0.95)-PERCENTILE(Indicators!$C:$C,0.05))*10))</f>
        <v>4.5840140199635879</v>
      </c>
      <c r="H13" s="37">
        <f>MAX(0,MIN(10,(Indicators!D14-PERCENTILE(Indicators!$D:$D,0.05))/(PERCENTILE(Indicators!$D:$D,0.95)-PERCENTILE(Indicators!$D:$D,0.05))*10))</f>
        <v>8.75</v>
      </c>
      <c r="I13" s="24">
        <f>MAX(0,MIN(10,(Table1[[#This Row],[INDIA VIX]]-PERCENTILE(Indicators!$E$2:$E$121,0.05))/(PERCENTILE(Indicators!$E$2:$E$121,0.95)-PERCENTILE(Indicators!$E$2:$E$121,0.05))*10))</f>
        <v>1.6813587167337252</v>
      </c>
      <c r="J13" s="24">
        <f>MAX(0,MIN(10,(Indicators!G14-PERCENTILE(Indicators!$G:$G,0.05))/(PERCENTILE(Indicators!$G:$G,0.95)-PERCENTILE(Indicators!$G:$G,0.05))*10))</f>
        <v>3.6255770832742606</v>
      </c>
      <c r="K13" s="24">
        <f>MAX(0,MIN(10,(Indicators!H14-PERCENTILE(Indicators!$H:$H,0.05))/(PERCENTILE(Indicators!$H:$H,0.95)-PERCENTILE(Indicators!$H:$H,0.05))*10))</f>
        <v>1.4333612740989143</v>
      </c>
      <c r="L13" s="24">
        <f>MAX(0,MIN(10,(Indicators!I14-PERCENTILE(Indicators!$I:$I,0.05))/(PERCENTILE(Indicators!$I:$I,0.95)-PERCENTILE(Indicators!$I:$I,0.05))*10))</f>
        <v>8.743584021423791</v>
      </c>
      <c r="M13" s="24">
        <f>MAX(0,MIN(10,(Indicators!J14-PERCENTILE(Indicators!$J:$J,0.05))/(PERCENTILE(Indicators!$J:$J,0.95)-PERCENTILE(Indicators!$J:$J,0.05))*10))</f>
        <v>10</v>
      </c>
      <c r="N13" s="24">
        <f>MAX(0,MIN(10,(PERCENTILE(Indicators!$K$2:$K$121,0.95)-Table1[[#This Row],[Net FII (cr)]])/(PERCENTILE(Indicators!$K$2:$K$121,0.95)-PERCENTILE(Indicators!$K$2:$K$121,0.05))*10))</f>
        <v>3.5453231026320702</v>
      </c>
    </row>
    <row r="14" spans="1:14" s="22" customFormat="1" x14ac:dyDescent="0.35">
      <c r="E14" s="38">
        <v>42125</v>
      </c>
      <c r="F14" s="24">
        <f>MAX(0,MIN(10,(PERCENTILE(Indicators!$K$2:$K$121,0.95)-Table1[[#This Row],[Net FII (cr)]])/(PERCENTILE(Indicators!$K$2:$K$121,0.95)-PERCENTILE(Indicators!$K$2:$K$121,0.05))*10))</f>
        <v>4.1527240705999455</v>
      </c>
      <c r="G14" s="24">
        <f>MAX(0,MIN(10,(Indicators!C15-PERCENTILE(Indicators!$C:$C,0.05))/(PERCENTILE(Indicators!$C:$C,0.95)-PERCENTILE(Indicators!$C:$C,0.05))*10))</f>
        <v>4.8684551132726721</v>
      </c>
      <c r="H14" s="37">
        <f>MAX(0,MIN(10,(Indicators!D15-PERCENTILE(Indicators!$D:$D,0.05))/(PERCENTILE(Indicators!$D:$D,0.95)-PERCENTILE(Indicators!$D:$D,0.05))*10))</f>
        <v>8.75</v>
      </c>
      <c r="I14" s="24">
        <f>MAX(0,MIN(10,(Table1[[#This Row],[INDIA VIX]]-PERCENTILE(Indicators!$E$2:$E$121,0.05))/(PERCENTILE(Indicators!$E$2:$E$121,0.95)-PERCENTILE(Indicators!$E$2:$E$121,0.05))*10))</f>
        <v>3.3440069365744591</v>
      </c>
      <c r="J14" s="24">
        <f>MAX(0,MIN(10,(Indicators!G15-PERCENTILE(Indicators!$G:$G,0.05))/(PERCENTILE(Indicators!$G:$G,0.95)-PERCENTILE(Indicators!$G:$G,0.05))*10))</f>
        <v>2.8760697098600825</v>
      </c>
      <c r="K14" s="24">
        <f>MAX(0,MIN(10,(Indicators!H15-PERCENTILE(Indicators!$H:$H,0.05))/(PERCENTILE(Indicators!$H:$H,0.95)-PERCENTILE(Indicators!$H:$H,0.05))*10))</f>
        <v>2.271584241408219</v>
      </c>
      <c r="L14" s="24">
        <f>MAX(0,MIN(10,(Indicators!I15-PERCENTILE(Indicators!$I:$I,0.05))/(PERCENTILE(Indicators!$I:$I,0.95)-PERCENTILE(Indicators!$I:$I,0.05))*10))</f>
        <v>5.0613702298594063</v>
      </c>
      <c r="M14" s="24">
        <f>MAX(0,MIN(10,(Indicators!J15-PERCENTILE(Indicators!$J:$J,0.05))/(PERCENTILE(Indicators!$J:$J,0.95)-PERCENTILE(Indicators!$J:$J,0.05))*10))</f>
        <v>4.5963214540491935</v>
      </c>
      <c r="N14" s="24">
        <f>MAX(0,MIN(10,(PERCENTILE(Indicators!$K$2:$K$121,0.95)-Table1[[#This Row],[Net FII (cr)]])/(PERCENTILE(Indicators!$K$2:$K$121,0.95)-PERCENTILE(Indicators!$K$2:$K$121,0.05))*10))</f>
        <v>4.1527240705999455</v>
      </c>
    </row>
    <row r="15" spans="1:14" s="22" customFormat="1" x14ac:dyDescent="0.35">
      <c r="E15" s="38">
        <v>42156</v>
      </c>
      <c r="F15" s="24">
        <f>MAX(0,MIN(10,(PERCENTILE(Indicators!$K$2:$K$121,0.95)-Table1[[#This Row],[Net FII (cr)]])/(PERCENTILE(Indicators!$K$2:$K$121,0.95)-PERCENTILE(Indicators!$K$2:$K$121,0.05))*10))</f>
        <v>7.4862225605430339</v>
      </c>
      <c r="G15" s="24">
        <f>MAX(0,MIN(10,(Indicators!C16-PERCENTILE(Indicators!$C:$C,0.05))/(PERCENTILE(Indicators!$C:$C,0.95)-PERCENTILE(Indicators!$C:$C,0.05))*10))</f>
        <v>5.6422203353998253</v>
      </c>
      <c r="H15" s="37">
        <f>MAX(0,MIN(10,(Indicators!D16-PERCENTILE(Indicators!$D:$D,0.05))/(PERCENTILE(Indicators!$D:$D,0.95)-PERCENTILE(Indicators!$D:$D,0.05))*10))</f>
        <v>8.75</v>
      </c>
      <c r="I15" s="24">
        <f>MAX(0,MIN(10,(Table1[[#This Row],[INDIA VIX]]-PERCENTILE(Indicators!$E$2:$E$121,0.05))/(PERCENTILE(Indicators!$E$2:$E$121,0.95)-PERCENTILE(Indicators!$E$2:$E$121,0.05))*10))</f>
        <v>2.9986993922891454</v>
      </c>
      <c r="J15" s="24">
        <f>MAX(0,MIN(10,(Indicators!G16-PERCENTILE(Indicators!$G:$G,0.05))/(PERCENTILE(Indicators!$G:$G,0.95)-PERCENTILE(Indicators!$G:$G,0.05))*10))</f>
        <v>2.6952274230488884</v>
      </c>
      <c r="K15" s="24">
        <f>MAX(0,MIN(10,(Indicators!H16-PERCENTILE(Indicators!$H:$H,0.05))/(PERCENTILE(Indicators!$H:$H,0.95)-PERCENTILE(Indicators!$H:$H,0.05))*10))</f>
        <v>2.3554065381391478</v>
      </c>
      <c r="L15" s="24">
        <f>MAX(0,MIN(10,(Indicators!I16-PERCENTILE(Indicators!$I:$I,0.05))/(PERCENTILE(Indicators!$I:$I,0.95)-PERCENTILE(Indicators!$I:$I,0.05))*10))</f>
        <v>3.8116491854496766</v>
      </c>
      <c r="M15" s="24">
        <f>MAX(0,MIN(10,(Indicators!J16-PERCENTILE(Indicators!$J:$J,0.05))/(PERCENTILE(Indicators!$J:$J,0.95)-PERCENTILE(Indicators!$J:$J,0.05))*10))</f>
        <v>4.2613442511088371</v>
      </c>
      <c r="N15" s="24">
        <f>MAX(0,MIN(10,(PERCENTILE(Indicators!$K$2:$K$121,0.95)-Table1[[#This Row],[Net FII (cr)]])/(PERCENTILE(Indicators!$K$2:$K$121,0.95)-PERCENTILE(Indicators!$K$2:$K$121,0.05))*10))</f>
        <v>7.4862225605430339</v>
      </c>
    </row>
    <row r="16" spans="1:14" s="22" customFormat="1" x14ac:dyDescent="0.35">
      <c r="E16" s="38">
        <v>42186</v>
      </c>
      <c r="F16" s="24">
        <f>MAX(0,MIN(10,(PERCENTILE(Indicators!$K$2:$K$121,0.95)-Table1[[#This Row],[Net FII (cr)]])/(PERCENTILE(Indicators!$K$2:$K$121,0.95)-PERCENTILE(Indicators!$K$2:$K$121,0.05))*10))</f>
        <v>6.0600576997137532</v>
      </c>
      <c r="G16" s="24">
        <f>MAX(0,MIN(10,(Indicators!C17-PERCENTILE(Indicators!$C:$C,0.05))/(PERCENTILE(Indicators!$C:$C,0.95)-PERCENTILE(Indicators!$C:$C,0.05))*10))</f>
        <v>2.2536010057480711</v>
      </c>
      <c r="H16" s="37">
        <f>MAX(0,MIN(10,(Indicators!D17-PERCENTILE(Indicators!$D:$D,0.05))/(PERCENTILE(Indicators!$D:$D,0.95)-PERCENTILE(Indicators!$D:$D,0.05))*10))</f>
        <v>8.1249999999999982</v>
      </c>
      <c r="I16" s="24">
        <f>MAX(0,MIN(10,(Table1[[#This Row],[INDIA VIX]]-PERCENTILE(Indicators!$E$2:$E$121,0.05))/(PERCENTILE(Indicators!$E$2:$E$121,0.95)-PERCENTILE(Indicators!$E$2:$E$121,0.05))*10))</f>
        <v>3.162986682081276</v>
      </c>
      <c r="J16" s="24">
        <f>MAX(0,MIN(10,(Indicators!G17-PERCENTILE(Indicators!$G:$G,0.05))/(PERCENTILE(Indicators!$G:$G,0.95)-PERCENTILE(Indicators!$G:$G,0.05))*10))</f>
        <v>1.245423964772471</v>
      </c>
      <c r="K16" s="24">
        <f>MAX(0,MIN(10,(Indicators!H17-PERCENTILE(Indicators!$H:$H,0.05))/(PERCENTILE(Indicators!$H:$H,0.95)-PERCENTILE(Indicators!$H:$H,0.05))*10))</f>
        <v>2.6068734283319395</v>
      </c>
      <c r="L16" s="24">
        <f>MAX(0,MIN(10,(Indicators!I17-PERCENTILE(Indicators!$I:$I,0.05))/(PERCENTILE(Indicators!$I:$I,0.95)-PERCENTILE(Indicators!$I:$I,0.05))*10))</f>
        <v>5.6415978576210666</v>
      </c>
      <c r="M16" s="24">
        <f>MAX(0,MIN(10,(Indicators!J17-PERCENTILE(Indicators!$J:$J,0.05))/(PERCENTILE(Indicators!$J:$J,0.95)-PERCENTILE(Indicators!$J:$J,0.05))*10))</f>
        <v>0</v>
      </c>
      <c r="N16" s="24">
        <f>MAX(0,MIN(10,(PERCENTILE(Indicators!$K$2:$K$121,0.95)-Table1[[#This Row],[Net FII (cr)]])/(PERCENTILE(Indicators!$K$2:$K$121,0.95)-PERCENTILE(Indicators!$K$2:$K$121,0.05))*10))</f>
        <v>6.0600576997137532</v>
      </c>
    </row>
    <row r="17" spans="5:14" s="22" customFormat="1" x14ac:dyDescent="0.35">
      <c r="E17" s="38">
        <v>42217</v>
      </c>
      <c r="F17" s="24">
        <f>MAX(0,MIN(10,(PERCENTILE(Indicators!$K$2:$K$121,0.95)-Table1[[#This Row],[Net FII (cr)]])/(PERCENTILE(Indicators!$K$2:$K$121,0.95)-PERCENTILE(Indicators!$K$2:$K$121,0.05))*10))</f>
        <v>5.2796927186204314</v>
      </c>
      <c r="G17" s="24">
        <f>MAX(0,MIN(10,(Indicators!C18-PERCENTILE(Indicators!$C:$C,0.05))/(PERCENTILE(Indicators!$C:$C,0.95)-PERCENTILE(Indicators!$C:$C,0.05))*10))</f>
        <v>2.351602845810433</v>
      </c>
      <c r="H17" s="37">
        <f>MAX(0,MIN(10,(Indicators!D18-PERCENTILE(Indicators!$D:$D,0.05))/(PERCENTILE(Indicators!$D:$D,0.95)-PERCENTILE(Indicators!$D:$D,0.05))*10))</f>
        <v>8.1249999999999982</v>
      </c>
      <c r="I17" s="24">
        <f>MAX(0,MIN(10,(Table1[[#This Row],[INDIA VIX]]-PERCENTILE(Indicators!$E$2:$E$121,0.05))/(PERCENTILE(Indicators!$E$2:$E$121,0.95)-PERCENTILE(Indicators!$E$2:$E$121,0.05))*10))</f>
        <v>1.7285152536185038</v>
      </c>
      <c r="J17" s="24">
        <f>MAX(0,MIN(10,(Indicators!G18-PERCENTILE(Indicators!$G:$G,0.05))/(PERCENTILE(Indicators!$G:$G,0.95)-PERCENTILE(Indicators!$G:$G,0.05))*10))</f>
        <v>3.8008069752648921</v>
      </c>
      <c r="K17" s="24">
        <f>MAX(0,MIN(10,(Indicators!H18-PERCENTILE(Indicators!$H:$H,0.05))/(PERCENTILE(Indicators!$H:$H,0.95)-PERCENTILE(Indicators!$H:$H,0.05))*10))</f>
        <v>1.4333612740989143</v>
      </c>
      <c r="L17" s="24">
        <f>MAX(0,MIN(10,(Indicators!I18-PERCENTILE(Indicators!$I:$I,0.05))/(PERCENTILE(Indicators!$I:$I,0.95)-PERCENTILE(Indicators!$I:$I,0.05))*10))</f>
        <v>10</v>
      </c>
      <c r="M17" s="24">
        <f>MAX(0,MIN(10,(Indicators!J18-PERCENTILE(Indicators!$J:$J,0.05))/(PERCENTILE(Indicators!$J:$J,0.95)-PERCENTILE(Indicators!$J:$J,0.05))*10))</f>
        <v>6.4542042740609791</v>
      </c>
      <c r="N17" s="24">
        <f>MAX(0,MIN(10,(PERCENTILE(Indicators!$K$2:$K$121,0.95)-Table1[[#This Row],[Net FII (cr)]])/(PERCENTILE(Indicators!$K$2:$K$121,0.95)-PERCENTILE(Indicators!$K$2:$K$121,0.05))*10))</f>
        <v>5.2796927186204314</v>
      </c>
    </row>
    <row r="18" spans="5:14" s="22" customFormat="1" x14ac:dyDescent="0.35">
      <c r="E18" s="38">
        <v>42248</v>
      </c>
      <c r="F18" s="24">
        <f>MAX(0,MIN(10,(PERCENTILE(Indicators!$K$2:$K$121,0.95)-Table1[[#This Row],[Net FII (cr)]])/(PERCENTILE(Indicators!$K$2:$K$121,0.95)-PERCENTILE(Indicators!$K$2:$K$121,0.05))*10))</f>
        <v>7.8524198070820646</v>
      </c>
      <c r="G18" s="24">
        <f>MAX(0,MIN(10,(Indicators!C19-PERCENTILE(Indicators!$C:$C,0.05))/(PERCENTILE(Indicators!$C:$C,0.95)-PERCENTILE(Indicators!$C:$C,0.05))*10))</f>
        <v>3.6861450707969738</v>
      </c>
      <c r="H18" s="37">
        <f>MAX(0,MIN(10,(Indicators!D19-PERCENTILE(Indicators!$D:$D,0.05))/(PERCENTILE(Indicators!$D:$D,0.95)-PERCENTILE(Indicators!$D:$D,0.05))*10))</f>
        <v>8.1249999999999982</v>
      </c>
      <c r="I18" s="24">
        <f>MAX(0,MIN(10,(Table1[[#This Row],[INDIA VIX]]-PERCENTILE(Indicators!$E$2:$E$121,0.05))/(PERCENTILE(Indicators!$E$2:$E$121,0.95)-PERCENTILE(Indicators!$E$2:$E$121,0.05))*10))</f>
        <v>7.8284414764559589</v>
      </c>
      <c r="J18" s="24">
        <f>MAX(0,MIN(10,(Indicators!G19-PERCENTILE(Indicators!$G:$G,0.05))/(PERCENTILE(Indicators!$G:$G,0.95)-PERCENTILE(Indicators!$G:$G,0.05))*10))</f>
        <v>3.2920272523285754</v>
      </c>
      <c r="K18" s="24">
        <f>MAX(0,MIN(10,(Indicators!H19-PERCENTILE(Indicators!$H:$H,0.05))/(PERCENTILE(Indicators!$H:$H,0.95)-PERCENTILE(Indicators!$H:$H,0.05))*10))</f>
        <v>1.5171835708298431</v>
      </c>
      <c r="L18" s="24">
        <f>MAX(0,MIN(10,(Indicators!I19-PERCENTILE(Indicators!$I:$I,0.05))/(PERCENTILE(Indicators!$I:$I,0.95)-PERCENTILE(Indicators!$I:$I,0.05))*10))</f>
        <v>1.289890649408614</v>
      </c>
      <c r="M18" s="24">
        <f>MAX(0,MIN(10,(Indicators!J19-PERCENTILE(Indicators!$J:$J,0.05))/(PERCENTILE(Indicators!$J:$J,0.95)-PERCENTILE(Indicators!$J:$J,0.05))*10))</f>
        <v>1.8482677336310915</v>
      </c>
      <c r="N18" s="24">
        <f>MAX(0,MIN(10,(PERCENTILE(Indicators!$K$2:$K$121,0.95)-Table1[[#This Row],[Net FII (cr)]])/(PERCENTILE(Indicators!$K$2:$K$121,0.95)-PERCENTILE(Indicators!$K$2:$K$121,0.05))*10))</f>
        <v>7.8524198070820646</v>
      </c>
    </row>
    <row r="19" spans="5:14" s="22" customFormat="1" x14ac:dyDescent="0.35">
      <c r="E19" s="38">
        <v>42278</v>
      </c>
      <c r="F19" s="24">
        <f>MAX(0,MIN(10,(PERCENTILE(Indicators!$K$2:$K$121,0.95)-Table1[[#This Row],[Net FII (cr)]])/(PERCENTILE(Indicators!$K$2:$K$121,0.95)-PERCENTILE(Indicators!$K$2:$K$121,0.05))*10))</f>
        <v>6.5307540375160746</v>
      </c>
      <c r="G19" s="24">
        <f>MAX(0,MIN(10,(Indicators!C20-PERCENTILE(Indicators!$C:$C,0.05))/(PERCENTILE(Indicators!$C:$C,0.95)-PERCENTILE(Indicators!$C:$C,0.05))*10))</f>
        <v>4.843050575904174</v>
      </c>
      <c r="H19" s="37">
        <f>MAX(0,MIN(10,(Indicators!D20-PERCENTILE(Indicators!$D:$D,0.05))/(PERCENTILE(Indicators!$D:$D,0.95)-PERCENTILE(Indicators!$D:$D,0.05))*10))</f>
        <v>6.875</v>
      </c>
      <c r="I19" s="24">
        <f>MAX(0,MIN(10,(Table1[[#This Row],[INDIA VIX]]-PERCENTILE(Indicators!$E$2:$E$121,0.05))/(PERCENTILE(Indicators!$E$2:$E$121,0.95)-PERCENTILE(Indicators!$E$2:$E$121,0.05))*10))</f>
        <v>4.8043384013934007</v>
      </c>
      <c r="J19" s="24">
        <f>MAX(0,MIN(10,(Indicators!G20-PERCENTILE(Indicators!$G:$G,0.05))/(PERCENTILE(Indicators!$G:$G,0.95)-PERCENTILE(Indicators!$G:$G,0.05))*10))</f>
        <v>3.4305260016216232</v>
      </c>
      <c r="K19" s="24">
        <f>MAX(0,MIN(10,(Indicators!H20-PERCENTILE(Indicators!$H:$H,0.05))/(PERCENTILE(Indicators!$H:$H,0.95)-PERCENTILE(Indicators!$H:$H,0.05))*10))</f>
        <v>1.4333612740989143</v>
      </c>
      <c r="L19" s="24">
        <f>MAX(0,MIN(10,(Indicators!I20-PERCENTILE(Indicators!$I:$I,0.05))/(PERCENTILE(Indicators!$I:$I,0.95)-PERCENTILE(Indicators!$I:$I,0.05))*10))</f>
        <v>3.9901807632224955</v>
      </c>
      <c r="M19" s="24">
        <f>MAX(0,MIN(10,(Indicators!J20-PERCENTILE(Indicators!$J:$J,0.05))/(PERCENTILE(Indicators!$J:$J,0.95)-PERCENTILE(Indicators!$J:$J,0.05))*10))</f>
        <v>5.995161440401974</v>
      </c>
      <c r="N19" s="24">
        <f>MAX(0,MIN(10,(PERCENTILE(Indicators!$K$2:$K$121,0.95)-Table1[[#This Row],[Net FII (cr)]])/(PERCENTILE(Indicators!$K$2:$K$121,0.95)-PERCENTILE(Indicators!$K$2:$K$121,0.05))*10))</f>
        <v>6.5307540375160746</v>
      </c>
    </row>
    <row r="20" spans="5:14" s="22" customFormat="1" x14ac:dyDescent="0.35">
      <c r="E20" s="38">
        <v>42309</v>
      </c>
      <c r="F20" s="24">
        <f>MAX(0,MIN(10,(PERCENTILE(Indicators!$K$2:$K$121,0.95)-Table1[[#This Row],[Net FII (cr)]])/(PERCENTILE(Indicators!$K$2:$K$121,0.95)-PERCENTILE(Indicators!$K$2:$K$121,0.05))*10))</f>
        <v>3.362111872583176</v>
      </c>
      <c r="G20" s="24">
        <f>MAX(0,MIN(10,(Indicators!C21-PERCENTILE(Indicators!$C:$C,0.05))/(PERCENTILE(Indicators!$C:$C,0.95)-PERCENTILE(Indicators!$C:$C,0.05))*10))</f>
        <v>5.6694116509807593</v>
      </c>
      <c r="H20" s="37">
        <f>MAX(0,MIN(10,(Indicators!D21-PERCENTILE(Indicators!$D:$D,0.05))/(PERCENTILE(Indicators!$D:$D,0.95)-PERCENTILE(Indicators!$D:$D,0.05))*10))</f>
        <v>6.875</v>
      </c>
      <c r="I20" s="24">
        <f>MAX(0,MIN(10,(Table1[[#This Row],[INDIA VIX]]-PERCENTILE(Indicators!$E$2:$E$121,0.05))/(PERCENTILE(Indicators!$E$2:$E$121,0.95)-PERCENTILE(Indicators!$E$2:$E$121,0.05))*10))</f>
        <v>3.7425557321812941</v>
      </c>
      <c r="J20" s="24">
        <f>MAX(0,MIN(10,(Indicators!G21-PERCENTILE(Indicators!$G:$G,0.05))/(PERCENTILE(Indicators!$G:$G,0.95)-PERCENTILE(Indicators!$G:$G,0.05))*10))</f>
        <v>2.7294192503598214</v>
      </c>
      <c r="K20" s="24">
        <f>MAX(0,MIN(10,(Indicators!H21-PERCENTILE(Indicators!$H:$H,0.05))/(PERCENTILE(Indicators!$H:$H,0.95)-PERCENTILE(Indicators!$H:$H,0.05))*10))</f>
        <v>0.93042749371333056</v>
      </c>
      <c r="L20" s="24">
        <f>MAX(0,MIN(10,(Indicators!I21-PERCENTILE(Indicators!$I:$I,0.05))/(PERCENTILE(Indicators!$I:$I,0.95)-PERCENTILE(Indicators!$I:$I,0.05))*10))</f>
        <v>7.8509261325596977</v>
      </c>
      <c r="M20" s="24">
        <f>MAX(0,MIN(10,(Indicators!J21-PERCENTILE(Indicators!$J:$J,0.05))/(PERCENTILE(Indicators!$J:$J,0.95)-PERCENTILE(Indicators!$J:$J,0.05))*10))</f>
        <v>2.0715858689246618</v>
      </c>
      <c r="N20" s="24">
        <f>MAX(0,MIN(10,(PERCENTILE(Indicators!$K$2:$K$121,0.95)-Table1[[#This Row],[Net FII (cr)]])/(PERCENTILE(Indicators!$K$2:$K$121,0.95)-PERCENTILE(Indicators!$K$2:$K$121,0.05))*10))</f>
        <v>3.362111872583176</v>
      </c>
    </row>
    <row r="21" spans="5:14" s="22" customFormat="1" x14ac:dyDescent="0.35">
      <c r="E21" s="38">
        <v>42339</v>
      </c>
      <c r="F21" s="24">
        <f>MAX(0,MIN(10,(PERCENTILE(Indicators!$K$2:$K$121,0.95)-Table1[[#This Row],[Net FII (cr)]])/(PERCENTILE(Indicators!$K$2:$K$121,0.95)-PERCENTILE(Indicators!$K$2:$K$121,0.05))*10))</f>
        <v>7.0984048123633237</v>
      </c>
      <c r="G21" s="24">
        <f>MAX(0,MIN(10,(Indicators!C22-PERCENTILE(Indicators!$C:$C,0.05))/(PERCENTILE(Indicators!$C:$C,0.95)-PERCENTILE(Indicators!$C:$C,0.05))*10))</f>
        <v>6.0648745641287771</v>
      </c>
      <c r="H21" s="37">
        <f>MAX(0,MIN(10,(Indicators!D22-PERCENTILE(Indicators!$D:$D,0.05))/(PERCENTILE(Indicators!$D:$D,0.95)-PERCENTILE(Indicators!$D:$D,0.05))*10))</f>
        <v>6.875</v>
      </c>
      <c r="I21" s="24">
        <f>MAX(0,MIN(10,(Table1[[#This Row],[INDIA VIX]]-PERCENTILE(Indicators!$E$2:$E$121,0.05))/(PERCENTILE(Indicators!$E$2:$E$121,0.95)-PERCENTILE(Indicators!$E$2:$E$121,0.05))*10))</f>
        <v>2.8602721388531838</v>
      </c>
      <c r="J21" s="24">
        <f>MAX(0,MIN(10,(Indicators!G22-PERCENTILE(Indicators!$G:$G,0.05))/(PERCENTILE(Indicators!$G:$G,0.95)-PERCENTILE(Indicators!$G:$G,0.05))*10))</f>
        <v>2.5434582642349484</v>
      </c>
      <c r="K21" s="24">
        <f>MAX(0,MIN(10,(Indicators!H22-PERCENTILE(Indicators!$H:$H,0.05))/(PERCENTILE(Indicators!$H:$H,0.95)-PERCENTILE(Indicators!$H:$H,0.05))*10))</f>
        <v>0.93042749371333056</v>
      </c>
      <c r="L21" s="24">
        <f>MAX(0,MIN(10,(Indicators!I22-PERCENTILE(Indicators!$I:$I,0.05))/(PERCENTILE(Indicators!$I:$I,0.95)-PERCENTILE(Indicators!$I:$I,0.05))*10))</f>
        <v>3.4545860299040392</v>
      </c>
      <c r="M21" s="24">
        <f>MAX(0,MIN(10,(Indicators!J22-PERCENTILE(Indicators!$J:$J,0.05))/(PERCENTILE(Indicators!$J:$J,0.95)-PERCENTILE(Indicators!$J:$J,0.05))*10))</f>
        <v>8.9947582271025246E-3</v>
      </c>
      <c r="N21" s="24">
        <f>MAX(0,MIN(10,(PERCENTILE(Indicators!$K$2:$K$121,0.95)-Table1[[#This Row],[Net FII (cr)]])/(PERCENTILE(Indicators!$K$2:$K$121,0.95)-PERCENTILE(Indicators!$K$2:$K$121,0.05))*10))</f>
        <v>7.0984048123633237</v>
      </c>
    </row>
    <row r="22" spans="5:14" s="22" customFormat="1" x14ac:dyDescent="0.35">
      <c r="E22" s="38">
        <v>42370</v>
      </c>
      <c r="F22" s="24">
        <f>MAX(0,MIN(10,(PERCENTILE(Indicators!$K$2:$K$121,0.95)-Table1[[#This Row],[Net FII (cr)]])/(PERCENTILE(Indicators!$K$2:$K$121,0.95)-PERCENTILE(Indicators!$K$2:$K$121,0.05))*10))</f>
        <v>6.8145231215500086</v>
      </c>
      <c r="G22" s="24">
        <f>MAX(0,MIN(10,(Indicators!C23-PERCENTILE(Indicators!$C:$C,0.05))/(PERCENTILE(Indicators!$C:$C,0.95)-PERCENTILE(Indicators!$C:$C,0.05))*10))</f>
        <v>6.2216559644168692</v>
      </c>
      <c r="H22" s="37">
        <f>MAX(0,MIN(10,(Indicators!D23-PERCENTILE(Indicators!$D:$D,0.05))/(PERCENTILE(Indicators!$D:$D,0.95)-PERCENTILE(Indicators!$D:$D,0.05))*10))</f>
        <v>6.875</v>
      </c>
      <c r="I22" s="24">
        <f>MAX(0,MIN(10,(Table1[[#This Row],[INDIA VIX]]-PERCENTILE(Indicators!$E$2:$E$121,0.05))/(PERCENTILE(Indicators!$E$2:$E$121,0.95)-PERCENTILE(Indicators!$E$2:$E$121,0.05))*10))</f>
        <v>1.3025852430463116</v>
      </c>
      <c r="J22" s="24">
        <f>MAX(0,MIN(10,(Indicators!G23-PERCENTILE(Indicators!$G:$G,0.05))/(PERCENTILE(Indicators!$G:$G,0.95)-PERCENTILE(Indicators!$G:$G,0.05))*10))</f>
        <v>5.0202580024506869</v>
      </c>
      <c r="K22" s="24">
        <f>MAX(0,MIN(10,(Indicators!H23-PERCENTILE(Indicators!$H:$H,0.05))/(PERCENTILE(Indicators!$H:$H,0.95)-PERCENTILE(Indicators!$H:$H,0.05))*10))</f>
        <v>0</v>
      </c>
      <c r="L22" s="24">
        <f>MAX(0,MIN(10,(Indicators!I23-PERCENTILE(Indicators!$I:$I,0.05))/(PERCENTILE(Indicators!$I:$I,0.95)-PERCENTILE(Indicators!$I:$I,0.05))*10))</f>
        <v>9.9263557241687135</v>
      </c>
      <c r="M22" s="24">
        <f>MAX(0,MIN(10,(Indicators!J23-PERCENTILE(Indicators!$J:$J,0.05))/(PERCENTILE(Indicators!$J:$J,0.95)-PERCENTILE(Indicators!$J:$J,0.05))*10))</f>
        <v>3.8147079805216966</v>
      </c>
      <c r="N22" s="24">
        <f>MAX(0,MIN(10,(PERCENTILE(Indicators!$K$2:$K$121,0.95)-Table1[[#This Row],[Net FII (cr)]])/(PERCENTILE(Indicators!$K$2:$K$121,0.95)-PERCENTILE(Indicators!$K$2:$K$121,0.05))*10))</f>
        <v>6.8145231215500086</v>
      </c>
    </row>
    <row r="23" spans="5:14" s="22" customFormat="1" x14ac:dyDescent="0.35">
      <c r="E23" s="38">
        <v>42401</v>
      </c>
      <c r="F23" s="24">
        <f>MAX(0,MIN(10,(PERCENTILE(Indicators!$K$2:$K$121,0.95)-Table1[[#This Row],[Net FII (cr)]])/(PERCENTILE(Indicators!$K$2:$K$121,0.95)-PERCENTILE(Indicators!$K$2:$K$121,0.05))*10))</f>
        <v>6.8716147586949319</v>
      </c>
      <c r="G23" s="24">
        <f>MAX(0,MIN(10,(Indicators!C24-PERCENTILE(Indicators!$C:$C,0.05))/(PERCENTILE(Indicators!$C:$C,0.95)-PERCENTILE(Indicators!$C:$C,0.05))*10))</f>
        <v>5.3736613714796597</v>
      </c>
      <c r="H23" s="37">
        <f>MAX(0,MIN(10,(Indicators!D24-PERCENTILE(Indicators!$D:$D,0.05))/(PERCENTILE(Indicators!$D:$D,0.95)-PERCENTILE(Indicators!$D:$D,0.05))*10))</f>
        <v>6.875</v>
      </c>
      <c r="I23" s="24">
        <f>MAX(0,MIN(10,(Table1[[#This Row],[INDIA VIX]]-PERCENTILE(Indicators!$E$2:$E$121,0.05))/(PERCENTILE(Indicators!$E$2:$E$121,0.95)-PERCENTILE(Indicators!$E$2:$E$121,0.05))*10))</f>
        <v>3.353134008229576</v>
      </c>
      <c r="J23" s="24">
        <f>MAX(0,MIN(10,(Indicators!G24-PERCENTILE(Indicators!$G:$G,0.05))/(PERCENTILE(Indicators!$G:$G,0.95)-PERCENTILE(Indicators!$G:$G,0.05))*10))</f>
        <v>9.2640069089688701</v>
      </c>
      <c r="K23" s="24">
        <f>MAX(0,MIN(10,(Indicators!H24-PERCENTILE(Indicators!$H:$H,0.05))/(PERCENTILE(Indicators!$H:$H,0.95)-PERCENTILE(Indicators!$H:$H,0.05))*10))</f>
        <v>0</v>
      </c>
      <c r="L23" s="24">
        <f>MAX(0,MIN(10,(Indicators!I24-PERCENTILE(Indicators!$I:$I,0.05))/(PERCENTILE(Indicators!$I:$I,0.95)-PERCENTILE(Indicators!$I:$I,0.05))*10))</f>
        <v>5.3961169381834413</v>
      </c>
      <c r="M23" s="24">
        <f>MAX(0,MIN(10,(Indicators!J24-PERCENTILE(Indicators!$J:$J,0.05))/(PERCENTILE(Indicators!$J:$J,0.95)-PERCENTILE(Indicators!$J:$J,0.05))*10))</f>
        <v>5.6974039266772136</v>
      </c>
      <c r="N23" s="24">
        <f>MAX(0,MIN(10,(PERCENTILE(Indicators!$K$2:$K$121,0.95)-Table1[[#This Row],[Net FII (cr)]])/(PERCENTILE(Indicators!$K$2:$K$121,0.95)-PERCENTILE(Indicators!$K$2:$K$121,0.05))*10))</f>
        <v>6.8716147586949319</v>
      </c>
    </row>
    <row r="24" spans="5:14" s="22" customFormat="1" x14ac:dyDescent="0.35">
      <c r="E24" s="38">
        <v>42430</v>
      </c>
      <c r="F24" s="24">
        <f>MAX(0,MIN(10,(PERCENTILE(Indicators!$K$2:$K$121,0.95)-Table1[[#This Row],[Net FII (cr)]])/(PERCENTILE(Indicators!$K$2:$K$121,0.95)-PERCENTILE(Indicators!$K$2:$K$121,0.05))*10))</f>
        <v>7.4236131912085632</v>
      </c>
      <c r="G24" s="24">
        <f>MAX(0,MIN(10,(Indicators!C25-PERCENTILE(Indicators!$C:$C,0.05))/(PERCENTILE(Indicators!$C:$C,0.95)-PERCENTILE(Indicators!$C:$C,0.05))*10))</f>
        <v>4.5045312802571553</v>
      </c>
      <c r="H24" s="37">
        <f>MAX(0,MIN(10,(Indicators!D25-PERCENTILE(Indicators!$D:$D,0.05))/(PERCENTILE(Indicators!$D:$D,0.95)-PERCENTILE(Indicators!$D:$D,0.05))*10))</f>
        <v>6.875</v>
      </c>
      <c r="I24" s="24">
        <f>MAX(0,MIN(10,(Table1[[#This Row],[INDIA VIX]]-PERCENTILE(Indicators!$E$2:$E$121,0.05))/(PERCENTILE(Indicators!$E$2:$E$121,0.95)-PERCENTILE(Indicators!$E$2:$E$121,0.05))*10))</f>
        <v>5.1283494451501017</v>
      </c>
      <c r="J24" s="24">
        <f>MAX(0,MIN(10,(Indicators!G25-PERCENTILE(Indicators!$G:$G,0.05))/(PERCENTILE(Indicators!$G:$G,0.95)-PERCENTILE(Indicators!$G:$G,0.05))*10))</f>
        <v>6.1918698975320581</v>
      </c>
      <c r="K24" s="24">
        <f>MAX(0,MIN(10,(Indicators!H25-PERCENTILE(Indicators!$H:$H,0.05))/(PERCENTILE(Indicators!$H:$H,0.95)-PERCENTILE(Indicators!$H:$H,0.05))*10))</f>
        <v>0.42749371332774666</v>
      </c>
      <c r="L24" s="24">
        <f>MAX(0,MIN(10,(Indicators!I25-PERCENTILE(Indicators!$I:$I,0.05))/(PERCENTILE(Indicators!$I:$I,0.95)-PERCENTILE(Indicators!$I:$I,0.05))*10))</f>
        <v>0</v>
      </c>
      <c r="M24" s="24">
        <f>MAX(0,MIN(10,(Indicators!J25-PERCENTILE(Indicators!$J:$J,0.05))/(PERCENTILE(Indicators!$J:$J,0.95)-PERCENTILE(Indicators!$J:$J,0.05))*10))</f>
        <v>8.3865264725039559</v>
      </c>
      <c r="N24" s="24">
        <f>MAX(0,MIN(10,(PERCENTILE(Indicators!$K$2:$K$121,0.95)-Table1[[#This Row],[Net FII (cr)]])/(PERCENTILE(Indicators!$K$2:$K$121,0.95)-PERCENTILE(Indicators!$K$2:$K$121,0.05))*10))</f>
        <v>7.4236131912085632</v>
      </c>
    </row>
    <row r="25" spans="5:14" s="22" customFormat="1" x14ac:dyDescent="0.35">
      <c r="E25" s="38">
        <v>42461</v>
      </c>
      <c r="F25" s="24">
        <f>MAX(0,MIN(10,(PERCENTILE(Indicators!$K$2:$K$121,0.95)-Table1[[#This Row],[Net FII (cr)]])/(PERCENTILE(Indicators!$K$2:$K$121,0.95)-PERCENTILE(Indicators!$K$2:$K$121,0.05))*10))</f>
        <v>3.6646862887733289</v>
      </c>
      <c r="G25" s="24">
        <f>MAX(0,MIN(10,(Indicators!C26-PERCENTILE(Indicators!$C:$C,0.05))/(PERCENTILE(Indicators!$C:$C,0.95)-PERCENTILE(Indicators!$C:$C,0.05))*10))</f>
        <v>5.780460338948787</v>
      </c>
      <c r="H25" s="37">
        <f>MAX(0,MIN(10,(Indicators!D26-PERCENTILE(Indicators!$D:$D,0.05))/(PERCENTILE(Indicators!$D:$D,0.95)-PERCENTILE(Indicators!$D:$D,0.05))*10))</f>
        <v>6.875</v>
      </c>
      <c r="I25" s="24">
        <f>MAX(0,MIN(10,(Table1[[#This Row],[INDIA VIX]]-PERCENTILE(Indicators!$E$2:$E$121,0.05))/(PERCENTILE(Indicators!$E$2:$E$121,0.95)-PERCENTILE(Indicators!$E$2:$E$121,0.05))*10))</f>
        <v>2.9530640340135541</v>
      </c>
      <c r="J25" s="24">
        <f>MAX(0,MIN(10,(Indicators!G26-PERCENTILE(Indicators!$G:$G,0.05))/(PERCENTILE(Indicators!$G:$G,0.95)-PERCENTILE(Indicators!$G:$G,0.05))*10))</f>
        <v>6.9030092124320745</v>
      </c>
      <c r="K25" s="24">
        <f>MAX(0,MIN(10,(Indicators!H26-PERCENTILE(Indicators!$H:$H,0.05))/(PERCENTILE(Indicators!$H:$H,0.95)-PERCENTILE(Indicators!$H:$H,0.05))*10))</f>
        <v>0.67896060352053855</v>
      </c>
      <c r="L25" s="24">
        <f>MAX(0,MIN(10,(Indicators!I26-PERCENTILE(Indicators!$I:$I,0.05))/(PERCENTILE(Indicators!$I:$I,0.95)-PERCENTILE(Indicators!$I:$I,0.05))*10))</f>
        <v>4.860522204864985</v>
      </c>
      <c r="M25" s="24">
        <f>MAX(0,MIN(10,(Indicators!J26-PERCENTILE(Indicators!$J:$J,0.05))/(PERCENTILE(Indicators!$J:$J,0.95)-PERCENTILE(Indicators!$J:$J,0.05))*10))</f>
        <v>10</v>
      </c>
      <c r="N25" s="24">
        <f>MAX(0,MIN(10,(PERCENTILE(Indicators!$K$2:$K$121,0.95)-Table1[[#This Row],[Net FII (cr)]])/(PERCENTILE(Indicators!$K$2:$K$121,0.95)-PERCENTILE(Indicators!$K$2:$K$121,0.05))*10))</f>
        <v>3.6646862887733289</v>
      </c>
    </row>
    <row r="26" spans="5:14" s="22" customFormat="1" x14ac:dyDescent="0.35">
      <c r="E26" s="38">
        <v>42491</v>
      </c>
      <c r="F26" s="24">
        <f>MAX(0,MIN(10,(PERCENTILE(Indicators!$K$2:$K$121,0.95)-Table1[[#This Row],[Net FII (cr)]])/(PERCENTILE(Indicators!$K$2:$K$121,0.95)-PERCENTILE(Indicators!$K$2:$K$121,0.05))*10))</f>
        <v>4.2088022467304613</v>
      </c>
      <c r="G26" s="24">
        <f>MAX(0,MIN(10,(Indicators!C27-PERCENTILE(Indicators!$C:$C,0.05))/(PERCENTILE(Indicators!$C:$C,0.95)-PERCENTILE(Indicators!$C:$C,0.05))*10))</f>
        <v>6.3530623430260231</v>
      </c>
      <c r="H26" s="37">
        <f>MAX(0,MIN(10,(Indicators!D27-PERCENTILE(Indicators!$D:$D,0.05))/(PERCENTILE(Indicators!$D:$D,0.95)-PERCENTILE(Indicators!$D:$D,0.05))*10))</f>
        <v>6.25</v>
      </c>
      <c r="I26" s="24">
        <f>MAX(0,MIN(10,(Table1[[#This Row],[INDIA VIX]]-PERCENTILE(Indicators!$E$2:$E$121,0.05))/(PERCENTILE(Indicators!$E$2:$E$121,0.95)-PERCENTILE(Indicators!$E$2:$E$121,0.05))*10))</f>
        <v>2.9256828190482</v>
      </c>
      <c r="J26" s="24">
        <f>MAX(0,MIN(10,(Indicators!G27-PERCENTILE(Indicators!$G:$G,0.05))/(PERCENTILE(Indicators!$G:$G,0.95)-PERCENTILE(Indicators!$G:$G,0.05))*10))</f>
        <v>5.038440667262222</v>
      </c>
      <c r="K26" s="24">
        <f>MAX(0,MIN(10,(Indicators!H27-PERCENTILE(Indicators!$H:$H,0.05))/(PERCENTILE(Indicators!$H:$H,0.95)-PERCENTILE(Indicators!$H:$H,0.05))*10))</f>
        <v>1.8524727577535669</v>
      </c>
      <c r="L26" s="24">
        <f>MAX(0,MIN(10,(Indicators!I27-PERCENTILE(Indicators!$I:$I,0.05))/(PERCENTILE(Indicators!$I:$I,0.95)-PERCENTILE(Indicators!$I:$I,0.05))*10))</f>
        <v>6.9359517964740016</v>
      </c>
      <c r="M26" s="24">
        <f>MAX(0,MIN(10,(Indicators!J27-PERCENTILE(Indicators!$J:$J,0.05))/(PERCENTILE(Indicators!$J:$J,0.95)-PERCENTILE(Indicators!$J:$J,0.05))*10))</f>
        <v>6.848112651592694</v>
      </c>
      <c r="N26" s="24">
        <f>MAX(0,MIN(10,(PERCENTILE(Indicators!$K$2:$K$121,0.95)-Table1[[#This Row],[Net FII (cr)]])/(PERCENTILE(Indicators!$K$2:$K$121,0.95)-PERCENTILE(Indicators!$K$2:$K$121,0.05))*10))</f>
        <v>4.2088022467304613</v>
      </c>
    </row>
    <row r="27" spans="5:14" s="22" customFormat="1" x14ac:dyDescent="0.35">
      <c r="E27" s="38">
        <v>42522</v>
      </c>
      <c r="F27" s="24">
        <f>MAX(0,MIN(10,(PERCENTILE(Indicators!$K$2:$K$121,0.95)-Table1[[#This Row],[Net FII (cr)]])/(PERCENTILE(Indicators!$K$2:$K$121,0.95)-PERCENTILE(Indicators!$K$2:$K$121,0.05))*10))</f>
        <v>6.0893354623521754</v>
      </c>
      <c r="G27" s="24">
        <f>MAX(0,MIN(10,(Indicators!C28-PERCENTILE(Indicators!$C:$C,0.05))/(PERCENTILE(Indicators!$C:$C,0.95)-PERCENTILE(Indicators!$C:$C,0.05))*10))</f>
        <v>6.3843819404900968</v>
      </c>
      <c r="H27" s="37">
        <f>MAX(0,MIN(10,(Indicators!D28-PERCENTILE(Indicators!$D:$D,0.05))/(PERCENTILE(Indicators!$D:$D,0.95)-PERCENTILE(Indicators!$D:$D,0.05))*10))</f>
        <v>6.25</v>
      </c>
      <c r="I27" s="24">
        <f>MAX(0,MIN(10,(Table1[[#This Row],[INDIA VIX]]-PERCENTILE(Indicators!$E$2:$E$121,0.05))/(PERCENTILE(Indicators!$E$2:$E$121,0.95)-PERCENTILE(Indicators!$E$2:$E$121,0.05))*10))</f>
        <v>2.6260106330384798</v>
      </c>
      <c r="J27" s="24">
        <f>MAX(0,MIN(10,(Indicators!G28-PERCENTILE(Indicators!$G:$G,0.05))/(PERCENTILE(Indicators!$G:$G,0.95)-PERCENTILE(Indicators!$G:$G,0.05))*10))</f>
        <v>6.5603633179477647</v>
      </c>
      <c r="K27" s="24">
        <f>MAX(0,MIN(10,(Indicators!H28-PERCENTILE(Indicators!$H:$H,0.05))/(PERCENTILE(Indicators!$H:$H,0.95)-PERCENTILE(Indicators!$H:$H,0.05))*10))</f>
        <v>2.0201173512154273</v>
      </c>
      <c r="L27" s="24">
        <f>MAX(0,MIN(10,(Indicators!I28-PERCENTILE(Indicators!$I:$I,0.05))/(PERCENTILE(Indicators!$I:$I,0.95)-PERCENTILE(Indicators!$I:$I,0.05))*10))</f>
        <v>5.2845347020754296</v>
      </c>
      <c r="M27" s="24">
        <f>MAX(0,MIN(10,(Indicators!J28-PERCENTILE(Indicators!$J:$J,0.05))/(PERCENTILE(Indicators!$J:$J,0.95)-PERCENTILE(Indicators!$J:$J,0.05))*10))</f>
        <v>5.0863806953878612</v>
      </c>
      <c r="N27" s="24">
        <f>MAX(0,MIN(10,(PERCENTILE(Indicators!$K$2:$K$121,0.95)-Table1[[#This Row],[Net FII (cr)]])/(PERCENTILE(Indicators!$K$2:$K$121,0.95)-PERCENTILE(Indicators!$K$2:$K$121,0.05))*10))</f>
        <v>6.0893354623521754</v>
      </c>
    </row>
    <row r="28" spans="5:14" s="22" customFormat="1" x14ac:dyDescent="0.35">
      <c r="E28" s="38">
        <v>42552</v>
      </c>
      <c r="F28" s="24">
        <f>MAX(0,MIN(10,(PERCENTILE(Indicators!$K$2:$K$121,0.95)-Table1[[#This Row],[Net FII (cr)]])/(PERCENTILE(Indicators!$K$2:$K$121,0.95)-PERCENTILE(Indicators!$K$2:$K$121,0.05))*10))</f>
        <v>6.161403801154445</v>
      </c>
      <c r="G28" s="24">
        <f>MAX(0,MIN(10,(Indicators!C29-PERCENTILE(Indicators!$C:$C,0.05))/(PERCENTILE(Indicators!$C:$C,0.95)-PERCENTILE(Indicators!$C:$C,0.05))*10))</f>
        <v>6.9711309173028528</v>
      </c>
      <c r="H28" s="37">
        <f>MAX(0,MIN(10,(Indicators!D29-PERCENTILE(Indicators!$D:$D,0.05))/(PERCENTILE(Indicators!$D:$D,0.95)-PERCENTILE(Indicators!$D:$D,0.05))*10))</f>
        <v>6.25</v>
      </c>
      <c r="I28" s="24">
        <f>MAX(0,MIN(10,(Table1[[#This Row],[INDIA VIX]]-PERCENTILE(Indicators!$E$2:$E$121,0.05))/(PERCENTILE(Indicators!$E$2:$E$121,0.95)-PERCENTILE(Indicators!$E$2:$E$121,0.05))*10))</f>
        <v>2.7750861367387447</v>
      </c>
      <c r="J28" s="24">
        <f>MAX(0,MIN(10,(Indicators!G29-PERCENTILE(Indicators!$G:$G,0.05))/(PERCENTILE(Indicators!$G:$G,0.95)-PERCENTILE(Indicators!$G:$G,0.05))*10))</f>
        <v>5.9669883860162773</v>
      </c>
      <c r="K28" s="24">
        <f>MAX(0,MIN(10,(Indicators!H29-PERCENTILE(Indicators!$H:$H,0.05))/(PERCENTILE(Indicators!$H:$H,0.95)-PERCENTILE(Indicators!$H:$H,0.05))*10))</f>
        <v>2.6906957250628709</v>
      </c>
      <c r="L28" s="24">
        <f>MAX(0,MIN(10,(Indicators!I29-PERCENTILE(Indicators!$I:$I,0.05))/(PERCENTILE(Indicators!$I:$I,0.95)-PERCENTILE(Indicators!$I:$I,0.05))*10))</f>
        <v>1.44610577995983</v>
      </c>
      <c r="M28" s="24">
        <f>MAX(0,MIN(10,(Indicators!J29-PERCENTILE(Indicators!$J:$J,0.05))/(PERCENTILE(Indicators!$J:$J,0.95)-PERCENTILE(Indicators!$J:$J,0.05))*10))</f>
        <v>1.3427002884525923</v>
      </c>
      <c r="N28" s="24">
        <f>MAX(0,MIN(10,(PERCENTILE(Indicators!$K$2:$K$121,0.95)-Table1[[#This Row],[Net FII (cr)]])/(PERCENTILE(Indicators!$K$2:$K$121,0.95)-PERCENTILE(Indicators!$K$2:$K$121,0.05))*10))</f>
        <v>6.161403801154445</v>
      </c>
    </row>
    <row r="29" spans="5:14" s="22" customFormat="1" x14ac:dyDescent="0.35">
      <c r="E29" s="38">
        <v>42583</v>
      </c>
      <c r="F29" s="24">
        <f>MAX(0,MIN(10,(PERCENTILE(Indicators!$K$2:$K$121,0.95)-Table1[[#This Row],[Net FII (cr)]])/(PERCENTILE(Indicators!$K$2:$K$121,0.95)-PERCENTILE(Indicators!$K$2:$K$121,0.05))*10))</f>
        <v>3.6879958921046878</v>
      </c>
      <c r="G29" s="24">
        <f>MAX(0,MIN(10,(Indicators!C30-PERCENTILE(Indicators!$C:$C,0.05))/(PERCENTILE(Indicators!$C:$C,0.95)-PERCENTILE(Indicators!$C:$C,0.05))*10))</f>
        <v>4.9467429992671441</v>
      </c>
      <c r="H29" s="37">
        <f>MAX(0,MIN(10,(Indicators!D30-PERCENTILE(Indicators!$D:$D,0.05))/(PERCENTILE(Indicators!$D:$D,0.95)-PERCENTILE(Indicators!$D:$D,0.05))*10))</f>
        <v>6.25</v>
      </c>
      <c r="I29" s="24">
        <f>MAX(0,MIN(10,(Table1[[#This Row],[INDIA VIX]]-PERCENTILE(Indicators!$E$2:$E$121,0.05))/(PERCENTILE(Indicators!$E$2:$E$121,0.95)-PERCENTILE(Indicators!$E$2:$E$121,0.05))*10))</f>
        <v>1.9399590802954134</v>
      </c>
      <c r="J29" s="24">
        <f>MAX(0,MIN(10,(Indicators!G30-PERCENTILE(Indicators!$G:$G,0.05))/(PERCENTILE(Indicators!$G:$G,0.95)-PERCENTILE(Indicators!$G:$G,0.05))*10))</f>
        <v>4.9725888323911809</v>
      </c>
      <c r="K29" s="24">
        <f>MAX(0,MIN(10,(Indicators!H30-PERCENTILE(Indicators!$H:$H,0.05))/(PERCENTILE(Indicators!$H:$H,0.95)-PERCENTILE(Indicators!$H:$H,0.05))*10))</f>
        <v>3.1098072087175237</v>
      </c>
      <c r="L29" s="24">
        <f>MAX(0,MIN(10,(Indicators!I30-PERCENTILE(Indicators!$I:$I,0.05))/(PERCENTILE(Indicators!$I:$I,0.95)-PERCENTILE(Indicators!$I:$I,0.05))*10))</f>
        <v>5.4184333854050433</v>
      </c>
      <c r="M29" s="24">
        <f>MAX(0,MIN(10,(Indicators!J30-PERCENTILE(Indicators!$J:$J,0.05))/(PERCENTILE(Indicators!$J:$J,0.95)-PERCENTILE(Indicators!$J:$J,0.05))*10))</f>
        <v>7.5925064359045944</v>
      </c>
      <c r="N29" s="24">
        <f>MAX(0,MIN(10,(PERCENTILE(Indicators!$K$2:$K$121,0.95)-Table1[[#This Row],[Net FII (cr)]])/(PERCENTILE(Indicators!$K$2:$K$121,0.95)-PERCENTILE(Indicators!$K$2:$K$121,0.05))*10))</f>
        <v>3.6879958921046878</v>
      </c>
    </row>
    <row r="30" spans="5:14" s="22" customFormat="1" x14ac:dyDescent="0.35">
      <c r="E30" s="38">
        <v>42614</v>
      </c>
      <c r="F30" s="24">
        <f>MAX(0,MIN(10,(PERCENTILE(Indicators!$K$2:$K$121,0.95)-Table1[[#This Row],[Net FII (cr)]])/(PERCENTILE(Indicators!$K$2:$K$121,0.95)-PERCENTILE(Indicators!$K$2:$K$121,0.05))*10))</f>
        <v>5.1533479121577033</v>
      </c>
      <c r="G30" s="24">
        <f>MAX(0,MIN(10,(Indicators!C31-PERCENTILE(Indicators!$C:$C,0.05))/(PERCENTILE(Indicators!$C:$C,0.95)-PERCENTILE(Indicators!$C:$C,0.05))*10))</f>
        <v>3.6325040887305797</v>
      </c>
      <c r="H30" s="37">
        <f>MAX(0,MIN(10,(Indicators!D31-PERCENTILE(Indicators!$D:$D,0.05))/(PERCENTILE(Indicators!$D:$D,0.95)-PERCENTILE(Indicators!$D:$D,0.05))*10))</f>
        <v>6.25</v>
      </c>
      <c r="I30" s="24">
        <f>MAX(0,MIN(10,(Table1[[#This Row],[INDIA VIX]]-PERCENTILE(Indicators!$E$2:$E$121,0.05))/(PERCENTILE(Indicators!$E$2:$E$121,0.95)-PERCENTILE(Indicators!$E$2:$E$121,0.05))*10))</f>
        <v>0.92076941214052621</v>
      </c>
      <c r="J30" s="24">
        <f>MAX(0,MIN(10,(Indicators!G31-PERCENTILE(Indicators!$G:$G,0.05))/(PERCENTILE(Indicators!$G:$G,0.95)-PERCENTILE(Indicators!$G:$G,0.05))*10))</f>
        <v>5.3564618794607846</v>
      </c>
      <c r="K30" s="24">
        <f>MAX(0,MIN(10,(Indicators!H31-PERCENTILE(Indicators!$H:$H,0.05))/(PERCENTILE(Indicators!$H:$H,0.95)-PERCENTILE(Indicators!$H:$H,0.05))*10))</f>
        <v>2.523051131601008</v>
      </c>
      <c r="L30" s="24">
        <f>MAX(0,MIN(10,(Indicators!I31-PERCENTILE(Indicators!$I:$I,0.05))/(PERCENTILE(Indicators!$I:$I,0.95)-PERCENTILE(Indicators!$I:$I,0.05))*10))</f>
        <v>2.9189912965855838</v>
      </c>
      <c r="M30" s="24">
        <f>MAX(0,MIN(10,(Indicators!J31-PERCENTILE(Indicators!$J:$J,0.05))/(PERCENTILE(Indicators!$J:$J,0.95)-PERCENTILE(Indicators!$J:$J,0.05))*10))</f>
        <v>7.3815948636828903</v>
      </c>
      <c r="N30" s="24">
        <f>MAX(0,MIN(10,(PERCENTILE(Indicators!$K$2:$K$121,0.95)-Table1[[#This Row],[Net FII (cr)]])/(PERCENTILE(Indicators!$K$2:$K$121,0.95)-PERCENTILE(Indicators!$K$2:$K$121,0.05))*10))</f>
        <v>5.1533479121577033</v>
      </c>
    </row>
    <row r="31" spans="5:14" s="22" customFormat="1" x14ac:dyDescent="0.35">
      <c r="E31" s="38">
        <v>42644</v>
      </c>
      <c r="F31" s="24">
        <f>MAX(0,MIN(10,(PERCENTILE(Indicators!$K$2:$K$121,0.95)-Table1[[#This Row],[Net FII (cr)]])/(PERCENTILE(Indicators!$K$2:$K$121,0.95)-PERCENTILE(Indicators!$K$2:$K$121,0.05))*10))</f>
        <v>3.6007256380863146</v>
      </c>
      <c r="G31" s="24">
        <f>MAX(0,MIN(10,(Indicators!C32-PERCENTILE(Indicators!$C:$C,0.05))/(PERCENTILE(Indicators!$C:$C,0.95)-PERCENTILE(Indicators!$C:$C,0.05))*10))</f>
        <v>3.2693602621144144</v>
      </c>
      <c r="H31" s="37">
        <f>MAX(0,MIN(10,(Indicators!D32-PERCENTILE(Indicators!$D:$D,0.05))/(PERCENTILE(Indicators!$D:$D,0.95)-PERCENTILE(Indicators!$D:$D,0.05))*10))</f>
        <v>6.25</v>
      </c>
      <c r="I31" s="24">
        <f>MAX(0,MIN(10,(Table1[[#This Row],[INDIA VIX]]-PERCENTILE(Indicators!$E$2:$E$121,0.05))/(PERCENTILE(Indicators!$E$2:$E$121,0.95)-PERCENTILE(Indicators!$E$2:$E$121,0.05))*10))</f>
        <v>3.3166257216091029</v>
      </c>
      <c r="J31" s="24">
        <f>MAX(0,MIN(10,(Indicators!G32-PERCENTILE(Indicators!$G:$G,0.05))/(PERCENTILE(Indicators!$G:$G,0.95)-PERCENTILE(Indicators!$G:$G,0.05))*10))</f>
        <v>4.6510945779573571</v>
      </c>
      <c r="K31" s="24">
        <f>MAX(0,MIN(10,(Indicators!H32-PERCENTILE(Indicators!$H:$H,0.05))/(PERCENTILE(Indicators!$H:$H,0.95)-PERCENTILE(Indicators!$H:$H,0.05))*10))</f>
        <v>2.4392288348700792</v>
      </c>
      <c r="L31" s="24">
        <f>MAX(0,MIN(10,(Indicators!I32-PERCENTILE(Indicators!$I:$I,0.05))/(PERCENTILE(Indicators!$I:$I,0.95)-PERCENTILE(Indicators!$I:$I,0.05))*10))</f>
        <v>4.7266235215353714</v>
      </c>
      <c r="M31" s="24">
        <f>MAX(0,MIN(10,(Indicators!J32-PERCENTILE(Indicators!$J:$J,0.05))/(PERCENTILE(Indicators!$J:$J,0.95)-PERCENTILE(Indicators!$J:$J,0.05))*10))</f>
        <v>4.2210229211252761</v>
      </c>
      <c r="N31" s="24">
        <f>MAX(0,MIN(10,(PERCENTILE(Indicators!$K$2:$K$121,0.95)-Table1[[#This Row],[Net FII (cr)]])/(PERCENTILE(Indicators!$K$2:$K$121,0.95)-PERCENTILE(Indicators!$K$2:$K$121,0.05))*10))</f>
        <v>3.6007256380863146</v>
      </c>
    </row>
    <row r="32" spans="5:14" s="22" customFormat="1" x14ac:dyDescent="0.35">
      <c r="E32" s="38">
        <v>42675</v>
      </c>
      <c r="F32" s="24">
        <f>MAX(0,MIN(10,(PERCENTILE(Indicators!$K$2:$K$121,0.95)-Table1[[#This Row],[Net FII (cr)]])/(PERCENTILE(Indicators!$K$2:$K$121,0.95)-PERCENTILE(Indicators!$K$2:$K$121,0.05))*10))</f>
        <v>7.0396240735277225</v>
      </c>
      <c r="G32" s="24">
        <f>MAX(0,MIN(10,(Indicators!C33-PERCENTILE(Indicators!$C:$C,0.05))/(PERCENTILE(Indicators!$C:$C,0.95)-PERCENTILE(Indicators!$C:$C,0.05))*10))</f>
        <v>2.138904713481359</v>
      </c>
      <c r="H32" s="37">
        <f>MAX(0,MIN(10,(Indicators!D33-PERCENTILE(Indicators!$D:$D,0.05))/(PERCENTILE(Indicators!$D:$D,0.95)-PERCENTILE(Indicators!$D:$D,0.05))*10))</f>
        <v>5.625</v>
      </c>
      <c r="I32" s="24">
        <f>MAX(0,MIN(10,(Table1[[#This Row],[INDIA VIX]]-PERCENTILE(Indicators!$E$2:$E$121,0.05))/(PERCENTILE(Indicators!$E$2:$E$121,0.95)-PERCENTILE(Indicators!$E$2:$E$121,0.05))*10))</f>
        <v>2.2883089817990983</v>
      </c>
      <c r="J32" s="24">
        <f>MAX(0,MIN(10,(Indicators!G33-PERCENTILE(Indicators!$G:$G,0.05))/(PERCENTILE(Indicators!$G:$G,0.95)-PERCENTILE(Indicators!$G:$G,0.05))*10))</f>
        <v>4.5443023701994321</v>
      </c>
      <c r="K32" s="24">
        <f>MAX(0,MIN(10,(Indicators!H33-PERCENTILE(Indicators!$H:$H,0.05))/(PERCENTILE(Indicators!$H:$H,0.95)-PERCENTILE(Indicators!$H:$H,0.05))*10))</f>
        <v>1.0142497904442622</v>
      </c>
      <c r="L32" s="24">
        <f>MAX(0,MIN(10,(Indicators!I33-PERCENTILE(Indicators!$I:$I,0.05))/(PERCENTILE(Indicators!$I:$I,0.95)-PERCENTILE(Indicators!$I:$I,0.05))*10))</f>
        <v>10</v>
      </c>
      <c r="M32" s="24">
        <f>MAX(0,MIN(10,(Indicators!J33-PERCENTILE(Indicators!$J:$J,0.05))/(PERCENTILE(Indicators!$J:$J,0.95)-PERCENTILE(Indicators!$J:$J,0.05))*10))</f>
        <v>7.2575292329642398</v>
      </c>
      <c r="N32" s="24">
        <f>MAX(0,MIN(10,(PERCENTILE(Indicators!$K$2:$K$121,0.95)-Table1[[#This Row],[Net FII (cr)]])/(PERCENTILE(Indicators!$K$2:$K$121,0.95)-PERCENTILE(Indicators!$K$2:$K$121,0.05))*10))</f>
        <v>7.0396240735277225</v>
      </c>
    </row>
    <row r="33" spans="5:14" s="22" customFormat="1" x14ac:dyDescent="0.35">
      <c r="E33" s="38">
        <v>42705</v>
      </c>
      <c r="F33" s="24">
        <f>MAX(0,MIN(10,(PERCENTILE(Indicators!$K$2:$K$121,0.95)-Table1[[#This Row],[Net FII (cr)]])/(PERCENTILE(Indicators!$K$2:$K$121,0.95)-PERCENTILE(Indicators!$K$2:$K$121,0.05))*10))</f>
        <v>10</v>
      </c>
      <c r="G33" s="24">
        <f>MAX(0,MIN(10,(Indicators!C34-PERCENTILE(Indicators!$C:$C,0.05))/(PERCENTILE(Indicators!$C:$C,0.95)-PERCENTILE(Indicators!$C:$C,0.05))*10))</f>
        <v>1.6952767551088996</v>
      </c>
      <c r="H33" s="37">
        <f>MAX(0,MIN(10,(Indicators!D34-PERCENTILE(Indicators!$D:$D,0.05))/(PERCENTILE(Indicators!$D:$D,0.95)-PERCENTILE(Indicators!$D:$D,0.05))*10))</f>
        <v>5.625</v>
      </c>
      <c r="I33" s="24">
        <f>MAX(0,MIN(10,(Table1[[#This Row],[INDIA VIX]]-PERCENTILE(Indicators!$E$2:$E$121,0.05))/(PERCENTILE(Indicators!$E$2:$E$121,0.95)-PERCENTILE(Indicators!$E$2:$E$121,0.05))*10))</f>
        <v>3.1158301451964991</v>
      </c>
      <c r="J33" s="24">
        <f>MAX(0,MIN(10,(Indicators!G34-PERCENTILE(Indicators!$G:$G,0.05))/(PERCENTILE(Indicators!$G:$G,0.95)-PERCENTILE(Indicators!$G:$G,0.05))*10))</f>
        <v>4.0633171644517052</v>
      </c>
      <c r="K33" s="24">
        <f>MAX(0,MIN(10,(Indicators!H34-PERCENTILE(Indicators!$H:$H,0.05))/(PERCENTILE(Indicators!$H:$H,0.95)-PERCENTILE(Indicators!$H:$H,0.05))*10))</f>
        <v>1.2657166806370512</v>
      </c>
      <c r="L33" s="24">
        <f>MAX(0,MIN(10,(Indicators!I34-PERCENTILE(Indicators!$I:$I,0.05))/(PERCENTILE(Indicators!$I:$I,0.95)-PERCENTILE(Indicators!$I:$I,0.05))*10))</f>
        <v>2.204864985494309</v>
      </c>
      <c r="M33" s="24">
        <f>MAX(0,MIN(10,(Indicators!J34-PERCENTILE(Indicators!$J:$J,0.05))/(PERCENTILE(Indicators!$J:$J,0.95)-PERCENTILE(Indicators!$J:$J,0.05))*10))</f>
        <v>8.5788282001178633</v>
      </c>
      <c r="N33" s="24">
        <f>MAX(0,MIN(10,(PERCENTILE(Indicators!$K$2:$K$121,0.95)-Table1[[#This Row],[Net FII (cr)]])/(PERCENTILE(Indicators!$K$2:$K$121,0.95)-PERCENTILE(Indicators!$K$2:$K$121,0.05))*10))</f>
        <v>10</v>
      </c>
    </row>
    <row r="34" spans="5:14" s="22" customFormat="1" x14ac:dyDescent="0.35">
      <c r="E34" s="38">
        <v>42736</v>
      </c>
      <c r="F34" s="24">
        <f>MAX(0,MIN(10,(PERCENTILE(Indicators!$K$2:$K$121,0.95)-Table1[[#This Row],[Net FII (cr)]])/(PERCENTILE(Indicators!$K$2:$K$121,0.95)-PERCENTILE(Indicators!$K$2:$K$121,0.05))*10))</f>
        <v>8.9318683942048054</v>
      </c>
      <c r="G34" s="24">
        <f>MAX(0,MIN(10,(Indicators!C35-PERCENTILE(Indicators!$C:$C,0.05))/(PERCENTILE(Indicators!$C:$C,0.95)-PERCENTILE(Indicators!$C:$C,0.05))*10))</f>
        <v>1.21308126115765</v>
      </c>
      <c r="H34" s="37">
        <f>MAX(0,MIN(10,(Indicators!D35-PERCENTILE(Indicators!$D:$D,0.05))/(PERCENTILE(Indicators!$D:$D,0.95)-PERCENTILE(Indicators!$D:$D,0.05))*10))</f>
        <v>5.625</v>
      </c>
      <c r="I34" s="24">
        <f>MAX(0,MIN(10,(Table1[[#This Row],[INDIA VIX]]-PERCENTILE(Indicators!$E$2:$E$121,0.05))/(PERCENTILE(Indicators!$E$2:$E$121,0.95)-PERCENTILE(Indicators!$E$2:$E$121,0.05))*10))</f>
        <v>2.2730971957072339</v>
      </c>
      <c r="J34" s="24">
        <f>MAX(0,MIN(10,(Indicators!G35-PERCENTILE(Indicators!$G:$G,0.05))/(PERCENTILE(Indicators!$G:$G,0.95)-PERCENTILE(Indicators!$G:$G,0.05))*10))</f>
        <v>4.0427021259226876</v>
      </c>
      <c r="K34" s="24">
        <f>MAX(0,MIN(10,(Indicators!H35-PERCENTILE(Indicators!$H:$H,0.05))/(PERCENTILE(Indicators!$H:$H,0.95)-PERCENTILE(Indicators!$H:$H,0.05))*10))</f>
        <v>2.1039396479463557</v>
      </c>
      <c r="L34" s="24">
        <f>MAX(0,MIN(10,(Indicators!I35-PERCENTILE(Indicators!$I:$I,0.05))/(PERCENTILE(Indicators!$I:$I,0.95)-PERCENTILE(Indicators!$I:$I,0.05))*10))</f>
        <v>2.8074090604775712</v>
      </c>
      <c r="M34" s="24">
        <f>MAX(0,MIN(10,(Indicators!J35-PERCENTILE(Indicators!$J:$J,0.05))/(PERCENTILE(Indicators!$J:$J,0.95)-PERCENTILE(Indicators!$J:$J,0.05))*10))</f>
        <v>4.1682950280698492</v>
      </c>
      <c r="N34" s="24">
        <f>MAX(0,MIN(10,(PERCENTILE(Indicators!$K$2:$K$121,0.95)-Table1[[#This Row],[Net FII (cr)]])/(PERCENTILE(Indicators!$K$2:$K$121,0.95)-PERCENTILE(Indicators!$K$2:$K$121,0.05))*10))</f>
        <v>8.9318683942048054</v>
      </c>
    </row>
    <row r="35" spans="5:14" s="22" customFormat="1" x14ac:dyDescent="0.35">
      <c r="E35" s="38">
        <v>42767</v>
      </c>
      <c r="F35" s="24">
        <f>MAX(0,MIN(10,(PERCENTILE(Indicators!$K$2:$K$121,0.95)-Table1[[#This Row],[Net FII (cr)]])/(PERCENTILE(Indicators!$K$2:$K$121,0.95)-PERCENTILE(Indicators!$K$2:$K$121,0.05))*10))</f>
        <v>6.2727719059598268</v>
      </c>
      <c r="G35" s="24">
        <f>MAX(0,MIN(10,(Indicators!C36-PERCENTILE(Indicators!$C:$C,0.05))/(PERCENTILE(Indicators!$C:$C,0.95)-PERCENTILE(Indicators!$C:$C,0.05))*10))</f>
        <v>2.1732484612837215</v>
      </c>
      <c r="H35" s="37">
        <f>MAX(0,MIN(10,(Indicators!D36-PERCENTILE(Indicators!$D:$D,0.05))/(PERCENTILE(Indicators!$D:$D,0.95)-PERCENTILE(Indicators!$D:$D,0.05))*10))</f>
        <v>5.625</v>
      </c>
      <c r="I35" s="24">
        <f>MAX(0,MIN(10,(Table1[[#This Row],[INDIA VIX]]-PERCENTILE(Indicators!$E$2:$E$121,0.05))/(PERCENTILE(Indicators!$E$2:$E$121,0.95)-PERCENTILE(Indicators!$E$2:$E$121,0.05))*10))</f>
        <v>3.1006183591046343</v>
      </c>
      <c r="J35" s="24">
        <f>MAX(0,MIN(10,(Indicators!G36-PERCENTILE(Indicators!$G:$G,0.05))/(PERCENTILE(Indicators!$G:$G,0.95)-PERCENTILE(Indicators!$G:$G,0.05))*10))</f>
        <v>3.7692928680555839</v>
      </c>
      <c r="K35" s="24">
        <f>MAX(0,MIN(10,(Indicators!H36-PERCENTILE(Indicators!$H:$H,0.05))/(PERCENTILE(Indicators!$H:$H,0.95)-PERCENTILE(Indicators!$H:$H,0.05))*10))</f>
        <v>2.271584241408219</v>
      </c>
      <c r="L35" s="24">
        <f>MAX(0,MIN(10,(Indicators!I36-PERCENTILE(Indicators!$I:$I,0.05))/(PERCENTILE(Indicators!$I:$I,0.95)-PERCENTILE(Indicators!$I:$I,0.05))*10))</f>
        <v>1.6915866993974558</v>
      </c>
      <c r="M35" s="24">
        <f>MAX(0,MIN(10,(Indicators!J36-PERCENTILE(Indicators!$J:$J,0.05))/(PERCENTILE(Indicators!$J:$J,0.95)-PERCENTILE(Indicators!$J:$J,0.05))*10))</f>
        <v>5.7160137712850103</v>
      </c>
      <c r="N35" s="24">
        <f>MAX(0,MIN(10,(PERCENTILE(Indicators!$K$2:$K$121,0.95)-Table1[[#This Row],[Net FII (cr)]])/(PERCENTILE(Indicators!$K$2:$K$121,0.95)-PERCENTILE(Indicators!$K$2:$K$121,0.05))*10))</f>
        <v>6.2727719059598268</v>
      </c>
    </row>
    <row r="36" spans="5:14" s="22" customFormat="1" x14ac:dyDescent="0.35">
      <c r="E36" s="38">
        <v>42795</v>
      </c>
      <c r="F36" s="24">
        <f>MAX(0,MIN(10,(PERCENTILE(Indicators!$K$2:$K$121,0.95)-Table1[[#This Row],[Net FII (cr)]])/(PERCENTILE(Indicators!$K$2:$K$121,0.95)-PERCENTILE(Indicators!$K$2:$K$121,0.05))*10))</f>
        <v>4.0929298707499377</v>
      </c>
      <c r="G36" s="24">
        <f>MAX(0,MIN(10,(Indicators!C37-PERCENTILE(Indicators!$C:$C,0.05))/(PERCENTILE(Indicators!$C:$C,0.95)-PERCENTILE(Indicators!$C:$C,0.05))*10))</f>
        <v>2.6458482951727764</v>
      </c>
      <c r="H36" s="37">
        <f>MAX(0,MIN(10,(Indicators!D37-PERCENTILE(Indicators!$D:$D,0.05))/(PERCENTILE(Indicators!$D:$D,0.95)-PERCENTILE(Indicators!$D:$D,0.05))*10))</f>
        <v>5.625</v>
      </c>
      <c r="I36" s="24">
        <f>MAX(0,MIN(10,(Table1[[#This Row],[INDIA VIX]]-PERCENTILE(Indicators!$E$2:$E$121,0.05))/(PERCENTILE(Indicators!$E$2:$E$121,0.95)-PERCENTILE(Indicators!$E$2:$E$121,0.05))*10))</f>
        <v>1.2554287061615343</v>
      </c>
      <c r="J36" s="24">
        <f>MAX(0,MIN(10,(Indicators!G37-PERCENTILE(Indicators!$G:$G,0.05))/(PERCENTILE(Indicators!$G:$G,0.95)-PERCENTILE(Indicators!$G:$G,0.05))*10))</f>
        <v>2.570028440928096</v>
      </c>
      <c r="K36" s="24">
        <f>MAX(0,MIN(10,(Indicators!H37-PERCENTILE(Indicators!$H:$H,0.05))/(PERCENTILE(Indicators!$H:$H,0.95)-PERCENTILE(Indicators!$H:$H,0.05))*10))</f>
        <v>2.4392288348700792</v>
      </c>
      <c r="L36" s="24">
        <f>MAX(0,MIN(10,(Indicators!I37-PERCENTILE(Indicators!$I:$I,0.05))/(PERCENTILE(Indicators!$I:$I,0.95)-PERCENTILE(Indicators!$I:$I,0.05))*10))</f>
        <v>0</v>
      </c>
      <c r="M36" s="24">
        <f>MAX(0,MIN(10,(Indicators!J37-PERCENTILE(Indicators!$J:$J,0.05))/(PERCENTILE(Indicators!$J:$J,0.95)-PERCENTILE(Indicators!$J:$J,0.05))*10))</f>
        <v>3.5634750783164302</v>
      </c>
      <c r="N36" s="24">
        <f>MAX(0,MIN(10,(PERCENTILE(Indicators!$K$2:$K$121,0.95)-Table1[[#This Row],[Net FII (cr)]])/(PERCENTILE(Indicators!$K$2:$K$121,0.95)-PERCENTILE(Indicators!$K$2:$K$121,0.05))*10))</f>
        <v>4.0929298707499377</v>
      </c>
    </row>
    <row r="37" spans="5:14" s="22" customFormat="1" x14ac:dyDescent="0.35">
      <c r="E37" s="38">
        <v>42826</v>
      </c>
      <c r="F37" s="24">
        <f>MAX(0,MIN(10,(PERCENTILE(Indicators!$K$2:$K$121,0.95)-Table1[[#This Row],[Net FII (cr)]])/(PERCENTILE(Indicators!$K$2:$K$121,0.95)-PERCENTILE(Indicators!$K$2:$K$121,0.05))*10))</f>
        <v>0</v>
      </c>
      <c r="G37" s="24">
        <f>MAX(0,MIN(10,(Indicators!C38-PERCENTILE(Indicators!$C:$C,0.05))/(PERCENTILE(Indicators!$C:$C,0.95)-PERCENTILE(Indicators!$C:$C,0.05))*10))</f>
        <v>0.85184992075816079</v>
      </c>
      <c r="H37" s="37">
        <f>MAX(0,MIN(10,(Indicators!D38-PERCENTILE(Indicators!$D:$D,0.05))/(PERCENTILE(Indicators!$D:$D,0.95)-PERCENTILE(Indicators!$D:$D,0.05))*10))</f>
        <v>5.625</v>
      </c>
      <c r="I37" s="24">
        <f>MAX(0,MIN(10,(Table1[[#This Row],[INDIA VIX]]-PERCENTILE(Indicators!$E$2:$E$121,0.05))/(PERCENTILE(Indicators!$E$2:$E$121,0.95)-PERCENTILE(Indicators!$E$2:$E$121,0.05))*10))</f>
        <v>0.4203016497182015</v>
      </c>
      <c r="J37" s="24">
        <f>MAX(0,MIN(10,(Indicators!G38-PERCENTILE(Indicators!$G:$G,0.05))/(PERCENTILE(Indicators!$G:$G,0.95)-PERCENTILE(Indicators!$G:$G,0.05))*10))</f>
        <v>2.3950477924028393</v>
      </c>
      <c r="K37" s="24">
        <f>MAX(0,MIN(10,(Indicators!H38-PERCENTILE(Indicators!$H:$H,0.05))/(PERCENTILE(Indicators!$H:$H,0.95)-PERCENTILE(Indicators!$H:$H,0.05))*10))</f>
        <v>2.6906957250628709</v>
      </c>
      <c r="L37" s="24">
        <f>MAX(0,MIN(10,(Indicators!I38-PERCENTILE(Indicators!$I:$I,0.05))/(PERCENTILE(Indicators!$I:$I,0.95)-PERCENTILE(Indicators!$I:$I,0.05))*10))</f>
        <v>2.3164472216023206</v>
      </c>
      <c r="M37" s="24">
        <f>MAX(0,MIN(10,(Indicators!J38-PERCENTILE(Indicators!$J:$J,0.05))/(PERCENTILE(Indicators!$J:$J,0.95)-PERCENTILE(Indicators!$J:$J,0.05))*10))</f>
        <v>4.3419869110759599</v>
      </c>
      <c r="N37" s="24">
        <f>MAX(0,MIN(10,(PERCENTILE(Indicators!$K$2:$K$121,0.95)-Table1[[#This Row],[Net FII (cr)]])/(PERCENTILE(Indicators!$K$2:$K$121,0.95)-PERCENTILE(Indicators!$K$2:$K$121,0.05))*10))</f>
        <v>0</v>
      </c>
    </row>
    <row r="38" spans="5:14" s="22" customFormat="1" x14ac:dyDescent="0.35">
      <c r="E38" s="38">
        <v>42856</v>
      </c>
      <c r="F38" s="24">
        <f>MAX(0,MIN(10,(PERCENTILE(Indicators!$K$2:$K$121,0.95)-Table1[[#This Row],[Net FII (cr)]])/(PERCENTILE(Indicators!$K$2:$K$121,0.95)-PERCENTILE(Indicators!$K$2:$K$121,0.05))*10))</f>
        <v>3.3163935201554868</v>
      </c>
      <c r="G38" s="24">
        <f>MAX(0,MIN(10,(Indicators!C39-PERCENTILE(Indicators!$C:$C,0.05))/(PERCENTILE(Indicators!$C:$C,0.95)-PERCENTILE(Indicators!$C:$C,0.05))*10))</f>
        <v>0</v>
      </c>
      <c r="H38" s="37">
        <f>MAX(0,MIN(10,(Indicators!D39-PERCENTILE(Indicators!$D:$D,0.05))/(PERCENTILE(Indicators!$D:$D,0.95)-PERCENTILE(Indicators!$D:$D,0.05))*10))</f>
        <v>5.625</v>
      </c>
      <c r="I38" s="24">
        <f>MAX(0,MIN(10,(Table1[[#This Row],[INDIA VIX]]-PERCENTILE(Indicators!$E$2:$E$121,0.05))/(PERCENTILE(Indicators!$E$2:$E$121,0.95)-PERCENTILE(Indicators!$E$2:$E$121,0.05))*10))</f>
        <v>0</v>
      </c>
      <c r="J38" s="24">
        <f>MAX(0,MIN(10,(Indicators!G39-PERCENTILE(Indicators!$G:$G,0.05))/(PERCENTILE(Indicators!$G:$G,0.95)-PERCENTILE(Indicators!$G:$G,0.05))*10))</f>
        <v>1.9557132450832775</v>
      </c>
      <c r="K38" s="24">
        <f>MAX(0,MIN(10,(Indicators!H39-PERCENTILE(Indicators!$H:$H,0.05))/(PERCENTILE(Indicators!$H:$H,0.95)-PERCENTILE(Indicators!$H:$H,0.05))*10))</f>
        <v>3.3612740989103123</v>
      </c>
      <c r="L38" s="24">
        <f>MAX(0,MIN(10,(Indicators!I39-PERCENTILE(Indicators!$I:$I,0.05))/(PERCENTILE(Indicators!$I:$I,0.95)-PERCENTILE(Indicators!$I:$I,0.05))*10))</f>
        <v>5.128319571524214</v>
      </c>
      <c r="M38" s="24">
        <f>MAX(0,MIN(10,(Indicators!J39-PERCENTILE(Indicators!$J:$J,0.05))/(PERCENTILE(Indicators!$J:$J,0.95)-PERCENTILE(Indicators!$J:$J,0.05))*10))</f>
        <v>4.4288328525790153</v>
      </c>
      <c r="N38" s="24">
        <f>MAX(0,MIN(10,(PERCENTILE(Indicators!$K$2:$K$121,0.95)-Table1[[#This Row],[Net FII (cr)]])/(PERCENTILE(Indicators!$K$2:$K$121,0.95)-PERCENTILE(Indicators!$K$2:$K$121,0.05))*10))</f>
        <v>3.3163935201554868</v>
      </c>
    </row>
    <row r="39" spans="5:14" s="22" customFormat="1" x14ac:dyDescent="0.35">
      <c r="E39" s="38">
        <v>42887</v>
      </c>
      <c r="F39" s="24">
        <f>MAX(0,MIN(10,(PERCENTILE(Indicators!$K$2:$K$121,0.95)-Table1[[#This Row],[Net FII (cr)]])/(PERCENTILE(Indicators!$K$2:$K$121,0.95)-PERCENTILE(Indicators!$K$2:$K$121,0.05))*10))</f>
        <v>2.8538048704684211</v>
      </c>
      <c r="G39" s="24">
        <f>MAX(0,MIN(10,(Indicators!C40-PERCENTILE(Indicators!$C:$C,0.05))/(PERCENTILE(Indicators!$C:$C,0.95)-PERCENTILE(Indicators!$C:$C,0.05))*10))</f>
        <v>0</v>
      </c>
      <c r="H39" s="37">
        <f>MAX(0,MIN(10,(Indicators!D40-PERCENTILE(Indicators!$D:$D,0.05))/(PERCENTILE(Indicators!$D:$D,0.95)-PERCENTILE(Indicators!$D:$D,0.05))*10))</f>
        <v>5.625</v>
      </c>
      <c r="I39" s="24">
        <f>MAX(0,MIN(10,(Table1[[#This Row],[INDIA VIX]]-PERCENTILE(Indicators!$E$2:$E$121,0.05))/(PERCENTILE(Indicators!$E$2:$E$121,0.95)-PERCENTILE(Indicators!$E$2:$E$121,0.05))*10))</f>
        <v>2.0231675502178421E-2</v>
      </c>
      <c r="J39" s="24">
        <f>MAX(0,MIN(10,(Indicators!G40-PERCENTILE(Indicators!$G:$G,0.05))/(PERCENTILE(Indicators!$G:$G,0.95)-PERCENTILE(Indicators!$G:$G,0.05))*10))</f>
        <v>1.7054432062877094</v>
      </c>
      <c r="K39" s="24">
        <f>MAX(0,MIN(10,(Indicators!H40-PERCENTILE(Indicators!$H:$H,0.05))/(PERCENTILE(Indicators!$H:$H,0.95)-PERCENTILE(Indicators!$H:$H,0.05))*10))</f>
        <v>3.193629505448452</v>
      </c>
      <c r="L39" s="24">
        <f>MAX(0,MIN(10,(Indicators!I40-PERCENTILE(Indicators!$I:$I,0.05))/(PERCENTILE(Indicators!$I:$I,0.95)-PERCENTILE(Indicators!$I:$I,0.05))*10))</f>
        <v>4.6819906270921665</v>
      </c>
      <c r="M39" s="24">
        <f>MAX(0,MIN(10,(Indicators!J40-PERCENTILE(Indicators!$J:$J,0.05))/(PERCENTILE(Indicators!$J:$J,0.95)-PERCENTILE(Indicators!$J:$J,0.05))*10))</f>
        <v>3.9821965819918743</v>
      </c>
      <c r="N39" s="24">
        <f>MAX(0,MIN(10,(PERCENTILE(Indicators!$K$2:$K$121,0.95)-Table1[[#This Row],[Net FII (cr)]])/(PERCENTILE(Indicators!$K$2:$K$121,0.95)-PERCENTILE(Indicators!$K$2:$K$121,0.05))*10))</f>
        <v>2.8538048704684211</v>
      </c>
    </row>
    <row r="40" spans="5:14" s="22" customFormat="1" x14ac:dyDescent="0.35">
      <c r="E40" s="38">
        <v>42917</v>
      </c>
      <c r="F40" s="24">
        <f>MAX(0,MIN(10,(PERCENTILE(Indicators!$K$2:$K$121,0.95)-Table1[[#This Row],[Net FII (cr)]])/(PERCENTILE(Indicators!$K$2:$K$121,0.95)-PERCENTILE(Indicators!$K$2:$K$121,0.05))*10))</f>
        <v>2.5794947559022834</v>
      </c>
      <c r="G40" s="24">
        <f>MAX(0,MIN(10,(Indicators!C41-PERCENTILE(Indicators!$C:$C,0.05))/(PERCENTILE(Indicators!$C:$C,0.95)-PERCENTILE(Indicators!$C:$C,0.05))*10))</f>
        <v>0</v>
      </c>
      <c r="H40" s="37">
        <f>MAX(0,MIN(10,(Indicators!D41-PERCENTILE(Indicators!$D:$D,0.05))/(PERCENTILE(Indicators!$D:$D,0.95)-PERCENTILE(Indicators!$D:$D,0.05))*10))</f>
        <v>5.625</v>
      </c>
      <c r="I40" s="24">
        <f>MAX(0,MIN(10,(Table1[[#This Row],[INDIA VIX]]-PERCENTILE(Indicators!$E$2:$E$121,0.05))/(PERCENTILE(Indicators!$E$2:$E$121,0.95)-PERCENTILE(Indicators!$E$2:$E$121,0.05))*10))</f>
        <v>1.9775321919420319E-3</v>
      </c>
      <c r="J40" s="24">
        <f>MAX(0,MIN(10,(Indicators!G41-PERCENTILE(Indicators!$G:$G,0.05))/(PERCENTILE(Indicators!$G:$G,0.95)-PERCENTILE(Indicators!$G:$G,0.05))*10))</f>
        <v>1.0322914149650386</v>
      </c>
      <c r="K40" s="24">
        <f>MAX(0,MIN(10,(Indicators!H41-PERCENTILE(Indicators!$H:$H,0.05))/(PERCENTILE(Indicators!$H:$H,0.95)-PERCENTILE(Indicators!$H:$H,0.05))*10))</f>
        <v>4.4509639564124095</v>
      </c>
      <c r="L40" s="24">
        <f>MAX(0,MIN(10,(Indicators!I41-PERCENTILE(Indicators!$I:$I,0.05))/(PERCENTILE(Indicators!$I:$I,0.95)-PERCENTILE(Indicators!$I:$I,0.05))*10))</f>
        <v>2.7627761660343673</v>
      </c>
      <c r="M40" s="24">
        <f>MAX(0,MIN(10,(Indicators!J41-PERCENTILE(Indicators!$J:$J,0.05))/(PERCENTILE(Indicators!$J:$J,0.95)-PERCENTILE(Indicators!$J:$J,0.05))*10))</f>
        <v>7.7103687850873124</v>
      </c>
      <c r="N40" s="24">
        <f>MAX(0,MIN(10,(PERCENTILE(Indicators!$K$2:$K$121,0.95)-Table1[[#This Row],[Net FII (cr)]])/(PERCENTILE(Indicators!$K$2:$K$121,0.95)-PERCENTILE(Indicators!$K$2:$K$121,0.05))*10))</f>
        <v>2.5794947559022834</v>
      </c>
    </row>
    <row r="41" spans="5:14" s="22" customFormat="1" x14ac:dyDescent="0.35">
      <c r="E41" s="38">
        <v>42948</v>
      </c>
      <c r="F41" s="24">
        <f>MAX(0,MIN(10,(PERCENTILE(Indicators!$K$2:$K$121,0.95)-Table1[[#This Row],[Net FII (cr)]])/(PERCENTILE(Indicators!$K$2:$K$121,0.95)-PERCENTILE(Indicators!$K$2:$K$121,0.05))*10))</f>
        <v>3.1733829103447335</v>
      </c>
      <c r="G41" s="24">
        <f>MAX(0,MIN(10,(Indicators!C42-PERCENTILE(Indicators!$C:$C,0.05))/(PERCENTILE(Indicators!$C:$C,0.95)-PERCENTILE(Indicators!$C:$C,0.05))*10))</f>
        <v>1.4371318626556682</v>
      </c>
      <c r="H41" s="37">
        <f>MAX(0,MIN(10,(Indicators!D42-PERCENTILE(Indicators!$D:$D,0.05))/(PERCENTILE(Indicators!$D:$D,0.95)-PERCENTILE(Indicators!$D:$D,0.05))*10))</f>
        <v>5</v>
      </c>
      <c r="I41" s="24">
        <f>MAX(0,MIN(10,(Table1[[#This Row],[INDIA VIX]]-PERCENTILE(Indicators!$E$2:$E$121,0.05))/(PERCENTILE(Indicators!$E$2:$E$121,0.95)-PERCENTILE(Indicators!$E$2:$E$121,0.05))*10))</f>
        <v>0.10389649900743095</v>
      </c>
      <c r="J41" s="24">
        <f>MAX(0,MIN(10,(Indicators!G42-PERCENTILE(Indicators!$G:$G,0.05))/(PERCENTILE(Indicators!$G:$G,0.95)-PERCENTILE(Indicators!$G:$G,0.05))*10))</f>
        <v>1.8971379850314494</v>
      </c>
      <c r="K41" s="24">
        <f>MAX(0,MIN(10,(Indicators!H42-PERCENTILE(Indicators!$H:$H,0.05))/(PERCENTILE(Indicators!$H:$H,0.95)-PERCENTILE(Indicators!$H:$H,0.05))*10))</f>
        <v>4.3671416596814803</v>
      </c>
      <c r="L41" s="24">
        <f>MAX(0,MIN(10,(Indicators!I42-PERCENTILE(Indicators!$I:$I,0.05))/(PERCENTILE(Indicators!$I:$I,0.95)-PERCENTILE(Indicators!$I:$I,0.05))*10))</f>
        <v>3.476902477125642</v>
      </c>
      <c r="M41" s="24">
        <f>MAX(0,MIN(10,(Indicators!J42-PERCENTILE(Indicators!$J:$J,0.05))/(PERCENTILE(Indicators!$J:$J,0.95)-PERCENTILE(Indicators!$J:$J,0.05))*10))</f>
        <v>5.2817840637697353</v>
      </c>
      <c r="N41" s="24">
        <f>MAX(0,MIN(10,(PERCENTILE(Indicators!$K$2:$K$121,0.95)-Table1[[#This Row],[Net FII (cr)]])/(PERCENTILE(Indicators!$K$2:$K$121,0.95)-PERCENTILE(Indicators!$K$2:$K$121,0.05))*10))</f>
        <v>3.1733829103447335</v>
      </c>
    </row>
    <row r="42" spans="5:14" s="22" customFormat="1" x14ac:dyDescent="0.35">
      <c r="E42" s="38">
        <v>42979</v>
      </c>
      <c r="F42" s="24">
        <f>MAX(0,MIN(10,(PERCENTILE(Indicators!$K$2:$K$121,0.95)-Table1[[#This Row],[Net FII (cr)]])/(PERCENTILE(Indicators!$K$2:$K$121,0.95)-PERCENTILE(Indicators!$K$2:$K$121,0.05))*10))</f>
        <v>5.5776502568560637</v>
      </c>
      <c r="G42" s="24">
        <f>MAX(0,MIN(10,(Indicators!C43-PERCENTILE(Indicators!$C:$C,0.05))/(PERCENTILE(Indicators!$C:$C,0.95)-PERCENTILE(Indicators!$C:$C,0.05))*10))</f>
        <v>1.4470790195504604</v>
      </c>
      <c r="H42" s="37">
        <f>MAX(0,MIN(10,(Indicators!D43-PERCENTILE(Indicators!$D:$D,0.05))/(PERCENTILE(Indicators!$D:$D,0.95)-PERCENTILE(Indicators!$D:$D,0.05))*10))</f>
        <v>5</v>
      </c>
      <c r="I42" s="24">
        <f>MAX(0,MIN(10,(Table1[[#This Row],[INDIA VIX]]-PERCENTILE(Indicators!$E$2:$E$121,0.05))/(PERCENTILE(Indicators!$E$2:$E$121,0.95)-PERCENTILE(Indicators!$E$2:$E$121,0.05))*10))</f>
        <v>0.13584124980034545</v>
      </c>
      <c r="J42" s="24">
        <f>MAX(0,MIN(10,(Indicators!G43-PERCENTILE(Indicators!$G:$G,0.05))/(PERCENTILE(Indicators!$G:$G,0.95)-PERCENTILE(Indicators!$G:$G,0.05))*10))</f>
        <v>1.9990892628734693</v>
      </c>
      <c r="K42" s="24">
        <f>MAX(0,MIN(10,(Indicators!H43-PERCENTILE(Indicators!$H:$H,0.05))/(PERCENTILE(Indicators!$H:$H,0.95)-PERCENTILE(Indicators!$H:$H,0.05))*10))</f>
        <v>4.1994970662196165</v>
      </c>
      <c r="L42" s="24">
        <f>MAX(0,MIN(10,(Indicators!I43-PERCENTILE(Indicators!$I:$I,0.05))/(PERCENTILE(Indicators!$I:$I,0.95)-PERCENTILE(Indicators!$I:$I,0.05))*10))</f>
        <v>9.1006471769694262</v>
      </c>
      <c r="M42" s="24">
        <f>MAX(0,MIN(10,(Indicators!J43-PERCENTILE(Indicators!$J:$J,0.05))/(PERCENTILE(Indicators!$J:$J,0.95)-PERCENTILE(Indicators!$J:$J,0.05))*10))</f>
        <v>7.5025588536335732</v>
      </c>
      <c r="N42" s="24">
        <f>MAX(0,MIN(10,(PERCENTILE(Indicators!$K$2:$K$121,0.95)-Table1[[#This Row],[Net FII (cr)]])/(PERCENTILE(Indicators!$K$2:$K$121,0.95)-PERCENTILE(Indicators!$K$2:$K$121,0.05))*10))</f>
        <v>5.5776502568560637</v>
      </c>
    </row>
    <row r="43" spans="5:14" s="22" customFormat="1" x14ac:dyDescent="0.35">
      <c r="E43" s="38">
        <v>43009</v>
      </c>
      <c r="F43" s="24">
        <f>MAX(0,MIN(10,(PERCENTILE(Indicators!$K$2:$K$121,0.95)-Table1[[#This Row],[Net FII (cr)]])/(PERCENTILE(Indicators!$K$2:$K$121,0.95)-PERCENTILE(Indicators!$K$2:$K$121,0.05))*10))</f>
        <v>7.010008490551165</v>
      </c>
      <c r="G43" s="24">
        <f>MAX(0,MIN(10,(Indicators!C44-PERCENTILE(Indicators!$C:$C,0.05))/(PERCENTILE(Indicators!$C:$C,0.95)-PERCENTILE(Indicators!$C:$C,0.05))*10))</f>
        <v>2.0265051338661135</v>
      </c>
      <c r="H43" s="37">
        <f>MAX(0,MIN(10,(Indicators!D44-PERCENTILE(Indicators!$D:$D,0.05))/(PERCENTILE(Indicators!$D:$D,0.95)-PERCENTILE(Indicators!$D:$D,0.05))*10))</f>
        <v>5</v>
      </c>
      <c r="I43" s="24">
        <f>MAX(0,MIN(10,(Table1[[#This Row],[INDIA VIX]]-PERCENTILE(Indicators!$E$2:$E$121,0.05))/(PERCENTILE(Indicators!$E$2:$E$121,0.95)-PERCENTILE(Indicators!$E$2:$E$121,0.05))*10))</f>
        <v>0.45985229355704754</v>
      </c>
      <c r="J43" s="24">
        <f>MAX(0,MIN(10,(Indicators!G44-PERCENTILE(Indicators!$G:$G,0.05))/(PERCENTILE(Indicators!$G:$G,0.95)-PERCENTILE(Indicators!$G:$G,0.05))*10))</f>
        <v>0.7177947911604281</v>
      </c>
      <c r="K43" s="24">
        <f>MAX(0,MIN(10,(Indicators!H44-PERCENTILE(Indicators!$H:$H,0.05))/(PERCENTILE(Indicators!$H:$H,0.95)-PERCENTILE(Indicators!$H:$H,0.05))*10))</f>
        <v>5.0377200335289221</v>
      </c>
      <c r="L43" s="24">
        <f>MAX(0,MIN(10,(Indicators!I44-PERCENTILE(Indicators!$I:$I,0.05))/(PERCENTILE(Indicators!$I:$I,0.95)-PERCENTILE(Indicators!$I:$I,0.05))*10))</f>
        <v>2.3610801160455255</v>
      </c>
      <c r="M43" s="24">
        <f>MAX(0,MIN(10,(Indicators!J44-PERCENTILE(Indicators!$J:$J,0.05))/(PERCENTILE(Indicators!$J:$J,0.95)-PERCENTILE(Indicators!$J:$J,0.05))*10))</f>
        <v>7.4653391644179781</v>
      </c>
      <c r="N43" s="24">
        <f>MAX(0,MIN(10,(PERCENTILE(Indicators!$K$2:$K$121,0.95)-Table1[[#This Row],[Net FII (cr)]])/(PERCENTILE(Indicators!$K$2:$K$121,0.95)-PERCENTILE(Indicators!$K$2:$K$121,0.05))*10))</f>
        <v>7.010008490551165</v>
      </c>
    </row>
    <row r="44" spans="5:14" s="22" customFormat="1" x14ac:dyDescent="0.35">
      <c r="E44" s="38">
        <v>43040</v>
      </c>
      <c r="F44" s="24">
        <f>MAX(0,MIN(10,(PERCENTILE(Indicators!$K$2:$K$121,0.95)-Table1[[#This Row],[Net FII (cr)]])/(PERCENTILE(Indicators!$K$2:$K$121,0.95)-PERCENTILE(Indicators!$K$2:$K$121,0.05))*10))</f>
        <v>3.7261695903140146</v>
      </c>
      <c r="G44" s="24">
        <f>MAX(0,MIN(10,(Indicators!C45-PERCENTILE(Indicators!$C:$C,0.05))/(PERCENTILE(Indicators!$C:$C,0.95)-PERCENTILE(Indicators!$C:$C,0.05))*10))</f>
        <v>4.6092508571020288</v>
      </c>
      <c r="H44" s="37">
        <f>MAX(0,MIN(10,(Indicators!D45-PERCENTILE(Indicators!$D:$D,0.05))/(PERCENTILE(Indicators!$D:$D,0.95)-PERCENTILE(Indicators!$D:$D,0.05))*10))</f>
        <v>5</v>
      </c>
      <c r="I44" s="24">
        <f>MAX(0,MIN(10,(Table1[[#This Row],[INDIA VIX]]-PERCENTILE(Indicators!$E$2:$E$121,0.05))/(PERCENTILE(Indicators!$E$2:$E$121,0.95)-PERCENTILE(Indicators!$E$2:$E$121,0.05))*10))</f>
        <v>0.43247107859169237</v>
      </c>
      <c r="J44" s="24">
        <f>MAX(0,MIN(10,(Indicators!G45-PERCENTILE(Indicators!$G:$G,0.05))/(PERCENTILE(Indicators!$G:$G,0.95)-PERCENTILE(Indicators!$G:$G,0.05))*10))</f>
        <v>0.98061556276697392</v>
      </c>
      <c r="K44" s="24">
        <f>MAX(0,MIN(10,(Indicators!H45-PERCENTILE(Indicators!$H:$H,0.05))/(PERCENTILE(Indicators!$H:$H,0.95)-PERCENTILE(Indicators!$H:$H,0.05))*10))</f>
        <v>4.8700754400670618</v>
      </c>
      <c r="L44" s="24">
        <f>MAX(0,MIN(10,(Indicators!I45-PERCENTILE(Indicators!$I:$I,0.05))/(PERCENTILE(Indicators!$I:$I,0.95)-PERCENTILE(Indicators!$I:$I,0.05))*10))</f>
        <v>3.4099531354608348</v>
      </c>
      <c r="M44" s="24">
        <f>MAX(0,MIN(10,(Indicators!J45-PERCENTILE(Indicators!$J:$J,0.05))/(PERCENTILE(Indicators!$J:$J,0.95)-PERCENTILE(Indicators!$J:$J,0.05))*10))</f>
        <v>6.0571942557612992</v>
      </c>
      <c r="N44" s="24">
        <f>MAX(0,MIN(10,(PERCENTILE(Indicators!$K$2:$K$121,0.95)-Table1[[#This Row],[Net FII (cr)]])/(PERCENTILE(Indicators!$K$2:$K$121,0.95)-PERCENTILE(Indicators!$K$2:$K$121,0.05))*10))</f>
        <v>3.7261695903140146</v>
      </c>
    </row>
    <row r="45" spans="5:14" s="22" customFormat="1" x14ac:dyDescent="0.35">
      <c r="E45" s="38">
        <v>43070</v>
      </c>
      <c r="F45" s="24">
        <f>MAX(0,MIN(10,(PERCENTILE(Indicators!$K$2:$K$121,0.95)-Table1[[#This Row],[Net FII (cr)]])/(PERCENTILE(Indicators!$K$2:$K$121,0.95)-PERCENTILE(Indicators!$K$2:$K$121,0.05))*10))</f>
        <v>3.5979104686018508</v>
      </c>
      <c r="G45" s="24">
        <f>MAX(0,MIN(10,(Indicators!C46-PERCENTILE(Indicators!$C:$C,0.05))/(PERCENTILE(Indicators!$C:$C,0.95)-PERCENTILE(Indicators!$C:$C,0.05))*10))</f>
        <v>5.2775238528002415</v>
      </c>
      <c r="H45" s="37">
        <f>MAX(0,MIN(10,(Indicators!D46-PERCENTILE(Indicators!$D:$D,0.05))/(PERCENTILE(Indicators!$D:$D,0.95)-PERCENTILE(Indicators!$D:$D,0.05))*10))</f>
        <v>5</v>
      </c>
      <c r="I45" s="24">
        <f>MAX(0,MIN(10,(Table1[[#This Row],[INDIA VIX]]-PERCENTILE(Indicators!$E$2:$E$121,0.05))/(PERCENTILE(Indicators!$E$2:$E$121,0.95)-PERCENTILE(Indicators!$E$2:$E$121,0.05))*10))</f>
        <v>1.1078743810704537</v>
      </c>
      <c r="J45" s="24">
        <f>MAX(0,MIN(10,(Indicators!G46-PERCENTILE(Indicators!$G:$G,0.05))/(PERCENTILE(Indicators!$G:$G,0.95)-PERCENTILE(Indicators!$G:$G,0.05))*10))</f>
        <v>0.50913199777739537</v>
      </c>
      <c r="K45" s="24">
        <f>MAX(0,MIN(10,(Indicators!H46-PERCENTILE(Indicators!$H:$H,0.05))/(PERCENTILE(Indicators!$H:$H,0.95)-PERCENTILE(Indicators!$H:$H,0.05))*10))</f>
        <v>5.4568315171835735</v>
      </c>
      <c r="L45" s="24">
        <f>MAX(0,MIN(10,(Indicators!I46-PERCENTILE(Indicators!$I:$I,0.05))/(PERCENTILE(Indicators!$I:$I,0.95)-PERCENTILE(Indicators!$I:$I,0.05))*10))</f>
        <v>2.0486498549430934</v>
      </c>
      <c r="M45" s="24">
        <f>MAX(0,MIN(10,(Indicators!J46-PERCENTILE(Indicators!$J:$J,0.05))/(PERCENTILE(Indicators!$J:$J,0.95)-PERCENTILE(Indicators!$J:$J,0.05))*10))</f>
        <v>7.0838373499581291</v>
      </c>
      <c r="N45" s="24">
        <f>MAX(0,MIN(10,(PERCENTILE(Indicators!$K$2:$K$121,0.95)-Table1[[#This Row],[Net FII (cr)]])/(PERCENTILE(Indicators!$K$2:$K$121,0.95)-PERCENTILE(Indicators!$K$2:$K$121,0.05))*10))</f>
        <v>3.5979104686018508</v>
      </c>
    </row>
    <row r="46" spans="5:14" s="22" customFormat="1" x14ac:dyDescent="0.35">
      <c r="E46" s="38">
        <v>43101</v>
      </c>
      <c r="F46" s="24">
        <f>MAX(0,MIN(10,(PERCENTILE(Indicators!$K$2:$K$121,0.95)-Table1[[#This Row],[Net FII (cr)]])/(PERCENTILE(Indicators!$K$2:$K$121,0.95)-PERCENTILE(Indicators!$K$2:$K$121,0.05))*10))</f>
        <v>6.2781770313699958</v>
      </c>
      <c r="G46" s="24">
        <f>MAX(0,MIN(10,(Indicators!C47-PERCENTILE(Indicators!$C:$C,0.05))/(PERCENTILE(Indicators!$C:$C,0.95)-PERCENTILE(Indicators!$C:$C,0.05))*10))</f>
        <v>4.98079856171125</v>
      </c>
      <c r="H46" s="37">
        <f>MAX(0,MIN(10,(Indicators!D47-PERCENTILE(Indicators!$D:$D,0.05))/(PERCENTILE(Indicators!$D:$D,0.95)-PERCENTILE(Indicators!$D:$D,0.05))*10))</f>
        <v>5</v>
      </c>
      <c r="I46" s="24">
        <f>MAX(0,MIN(10,(Table1[[#This Row],[INDIA VIX]]-PERCENTILE(Indicators!$E$2:$E$121,0.05))/(PERCENTILE(Indicators!$E$2:$E$121,0.95)-PERCENTILE(Indicators!$E$2:$E$121,0.05))*10))</f>
        <v>0.57241951063684127</v>
      </c>
      <c r="J46" s="24">
        <f>MAX(0,MIN(10,(Indicators!G47-PERCENTILE(Indicators!$G:$G,0.05))/(PERCENTILE(Indicators!$G:$G,0.95)-PERCENTILE(Indicators!$G:$G,0.05))*10))</f>
        <v>0.26190344220563905</v>
      </c>
      <c r="K46" s="24">
        <f>MAX(0,MIN(10,(Indicators!H47-PERCENTILE(Indicators!$H:$H,0.05))/(PERCENTILE(Indicators!$H:$H,0.95)-PERCENTILE(Indicators!$H:$H,0.05))*10))</f>
        <v>5.9597652975691577</v>
      </c>
      <c r="L46" s="24">
        <f>MAX(0,MIN(10,(Indicators!I47-PERCENTILE(Indicators!$I:$I,0.05))/(PERCENTILE(Indicators!$I:$I,0.95)-PERCENTILE(Indicators!$I:$I,0.05))*10))</f>
        <v>3.2983708993528227</v>
      </c>
      <c r="M46" s="24">
        <f>MAX(0,MIN(10,(Indicators!J47-PERCENTILE(Indicators!$J:$J,0.05))/(PERCENTILE(Indicators!$J:$J,0.95)-PERCENTILE(Indicators!$J:$J,0.05))*10))</f>
        <v>6.3425452064141936</v>
      </c>
      <c r="N46" s="24">
        <f>MAX(0,MIN(10,(PERCENTILE(Indicators!$K$2:$K$121,0.95)-Table1[[#This Row],[Net FII (cr)]])/(PERCENTILE(Indicators!$K$2:$K$121,0.95)-PERCENTILE(Indicators!$K$2:$K$121,0.05))*10))</f>
        <v>6.2781770313699958</v>
      </c>
    </row>
    <row r="47" spans="5:14" s="22" customFormat="1" x14ac:dyDescent="0.35">
      <c r="E47" s="38">
        <v>43132</v>
      </c>
      <c r="F47" s="24">
        <f>MAX(0,MIN(10,(PERCENTILE(Indicators!$K$2:$K$121,0.95)-Table1[[#This Row],[Net FII (cr)]])/(PERCENTILE(Indicators!$K$2:$K$121,0.95)-PERCENTILE(Indicators!$K$2:$K$121,0.05))*10))</f>
        <v>3.3711204149334599</v>
      </c>
      <c r="G47" s="24">
        <f>MAX(0,MIN(10,(Indicators!C48-PERCENTILE(Indicators!$C:$C,0.05))/(PERCENTILE(Indicators!$C:$C,0.95)-PERCENTILE(Indicators!$C:$C,0.05))*10))</f>
        <v>3.7418263683519051</v>
      </c>
      <c r="H47" s="37">
        <f>MAX(0,MIN(10,(Indicators!D48-PERCENTILE(Indicators!$D:$D,0.05))/(PERCENTILE(Indicators!$D:$D,0.95)-PERCENTILE(Indicators!$D:$D,0.05))*10))</f>
        <v>5</v>
      </c>
      <c r="I47" s="24">
        <f>MAX(0,MIN(10,(Table1[[#This Row],[INDIA VIX]]-PERCENTILE(Indicators!$E$2:$E$121,0.05))/(PERCENTILE(Indicators!$E$2:$E$121,0.95)-PERCENTILE(Indicators!$E$2:$E$121,0.05))*10))</f>
        <v>2.5560364170159038</v>
      </c>
      <c r="J47" s="24">
        <f>MAX(0,MIN(10,(Indicators!G48-PERCENTILE(Indicators!$G:$G,0.05))/(PERCENTILE(Indicators!$G:$G,0.95)-PERCENTILE(Indicators!$G:$G,0.05))*10))</f>
        <v>1.2310674047578845</v>
      </c>
      <c r="K47" s="24">
        <f>MAX(0,MIN(10,(Indicators!H48-PERCENTILE(Indicators!$H:$H,0.05))/(PERCENTILE(Indicators!$H:$H,0.95)-PERCENTILE(Indicators!$H:$H,0.05))*10))</f>
        <v>4.4509639564124095</v>
      </c>
      <c r="L47" s="24">
        <f>MAX(0,MIN(10,(Indicators!I48-PERCENTILE(Indicators!$I:$I,0.05))/(PERCENTILE(Indicators!$I:$I,0.95)-PERCENTILE(Indicators!$I:$I,0.05))*10))</f>
        <v>10</v>
      </c>
      <c r="M47" s="24">
        <f>MAX(0,MIN(10,(Indicators!J48-PERCENTILE(Indicators!$J:$J,0.05))/(PERCENTILE(Indicators!$J:$J,0.95)-PERCENTILE(Indicators!$J:$J,0.05))*10))</f>
        <v>3.3246487391830284</v>
      </c>
      <c r="N47" s="24">
        <f>MAX(0,MIN(10,(PERCENTILE(Indicators!$K$2:$K$121,0.95)-Table1[[#This Row],[Net FII (cr)]])/(PERCENTILE(Indicators!$K$2:$K$121,0.95)-PERCENTILE(Indicators!$K$2:$K$121,0.05))*10))</f>
        <v>3.3711204149334599</v>
      </c>
    </row>
    <row r="48" spans="5:14" s="22" customFormat="1" x14ac:dyDescent="0.35">
      <c r="E48" s="38">
        <v>43160</v>
      </c>
      <c r="F48" s="24">
        <f>MAX(0,MIN(10,(PERCENTILE(Indicators!$K$2:$K$121,0.95)-Table1[[#This Row],[Net FII (cr)]])/(PERCENTILE(Indicators!$K$2:$K$121,0.95)-PERCENTILE(Indicators!$K$2:$K$121,0.05))*10))</f>
        <v>7.1936701477175724</v>
      </c>
      <c r="G48" s="24">
        <f>MAX(0,MIN(10,(Indicators!C49-PERCENTILE(Indicators!$C:$C,0.05))/(PERCENTILE(Indicators!$C:$C,0.95)-PERCENTILE(Indicators!$C:$C,0.05))*10))</f>
        <v>3.4183510539539474</v>
      </c>
      <c r="H48" s="37">
        <f>MAX(0,MIN(10,(Indicators!D49-PERCENTILE(Indicators!$D:$D,0.05))/(PERCENTILE(Indicators!$D:$D,0.95)-PERCENTILE(Indicators!$D:$D,0.05))*10))</f>
        <v>5</v>
      </c>
      <c r="I48" s="24">
        <f>MAX(0,MIN(10,(Table1[[#This Row],[INDIA VIX]]-PERCENTILE(Indicators!$E$2:$E$121,0.05))/(PERCENTILE(Indicators!$E$2:$E$121,0.95)-PERCENTILE(Indicators!$E$2:$E$121,0.05))*10))</f>
        <v>1.2630345992074656</v>
      </c>
      <c r="J48" s="24">
        <f>MAX(0,MIN(10,(Indicators!G49-PERCENTILE(Indicators!$G:$G,0.05))/(PERCENTILE(Indicators!$G:$G,0.95)-PERCENTILE(Indicators!$G:$G,0.05))*10))</f>
        <v>1.8975758461577288</v>
      </c>
      <c r="K48" s="24">
        <f>MAX(0,MIN(10,(Indicators!H49-PERCENTILE(Indicators!$H:$H,0.05))/(PERCENTILE(Indicators!$H:$H,0.95)-PERCENTILE(Indicators!$H:$H,0.05))*10))</f>
        <v>3.6127409891031044</v>
      </c>
      <c r="L48" s="24">
        <f>MAX(0,MIN(10,(Indicators!I49-PERCENTILE(Indicators!$I:$I,0.05))/(PERCENTILE(Indicators!$I:$I,0.95)-PERCENTILE(Indicators!$I:$I,0.05))*10))</f>
        <v>3.9901807632224955</v>
      </c>
      <c r="M48" s="24">
        <f>MAX(0,MIN(10,(Indicators!J49-PERCENTILE(Indicators!$J:$J,0.05))/(PERCENTILE(Indicators!$J:$J,0.95)-PERCENTILE(Indicators!$J:$J,0.05))*10))</f>
        <v>7.4064079898266186</v>
      </c>
      <c r="N48" s="24">
        <f>MAX(0,MIN(10,(PERCENTILE(Indicators!$K$2:$K$121,0.95)-Table1[[#This Row],[Net FII (cr)]])/(PERCENTILE(Indicators!$K$2:$K$121,0.95)-PERCENTILE(Indicators!$K$2:$K$121,0.05))*10))</f>
        <v>7.1936701477175724</v>
      </c>
    </row>
    <row r="49" spans="5:14" s="22" customFormat="1" x14ac:dyDescent="0.35">
      <c r="E49" s="38">
        <v>43191</v>
      </c>
      <c r="F49" s="24">
        <f>MAX(0,MIN(10,(PERCENTILE(Indicators!$K$2:$K$121,0.95)-Table1[[#This Row],[Net FII (cr)]])/(PERCENTILE(Indicators!$K$2:$K$121,0.95)-PERCENTILE(Indicators!$K$2:$K$121,0.05))*10))</f>
        <v>5.5793393585467408</v>
      </c>
      <c r="G49" s="24">
        <f>MAX(0,MIN(10,(Indicators!C50-PERCENTILE(Indicators!$C:$C,0.05))/(PERCENTILE(Indicators!$C:$C,0.95)-PERCENTILE(Indicators!$C:$C,0.05))*10))</f>
        <v>4.0110165415021211</v>
      </c>
      <c r="H49" s="37">
        <f>MAX(0,MIN(10,(Indicators!D50-PERCENTILE(Indicators!$D:$D,0.05))/(PERCENTILE(Indicators!$D:$D,0.95)-PERCENTILE(Indicators!$D:$D,0.05))*10))</f>
        <v>5</v>
      </c>
      <c r="I49" s="24">
        <f>MAX(0,MIN(10,(Table1[[#This Row],[INDIA VIX]]-PERCENTILE(Indicators!$E$2:$E$121,0.05))/(PERCENTILE(Indicators!$E$2:$E$121,0.95)-PERCENTILE(Indicators!$E$2:$E$121,0.05))*10))</f>
        <v>2.4510750929820428</v>
      </c>
      <c r="J49" s="24">
        <f>MAX(0,MIN(10,(Indicators!G50-PERCENTILE(Indicators!$G:$G,0.05))/(PERCENTILE(Indicators!$G:$G,0.95)-PERCENTILE(Indicators!$G:$G,0.05))*10))</f>
        <v>1.1063460149963869</v>
      </c>
      <c r="K49" s="24">
        <f>MAX(0,MIN(10,(Indicators!H50-PERCENTILE(Indicators!$H:$H,0.05))/(PERCENTILE(Indicators!$H:$H,0.95)-PERCENTILE(Indicators!$H:$H,0.05))*10))</f>
        <v>5.2891869237217133</v>
      </c>
      <c r="L49" s="24">
        <f>MAX(0,MIN(10,(Indicators!I50-PERCENTILE(Indicators!$I:$I,0.05))/(PERCENTILE(Indicators!$I:$I,0.95)-PERCENTILE(Indicators!$I:$I,0.05))*10))</f>
        <v>8.8997991519750066</v>
      </c>
      <c r="M49" s="24">
        <f>MAX(0,MIN(10,(Indicators!J50-PERCENTILE(Indicators!$J:$J,0.05))/(PERCENTILE(Indicators!$J:$J,0.95)-PERCENTILE(Indicators!$J:$J,0.05))*10))</f>
        <v>7.5925064359045944</v>
      </c>
      <c r="N49" s="24">
        <f>MAX(0,MIN(10,(PERCENTILE(Indicators!$K$2:$K$121,0.95)-Table1[[#This Row],[Net FII (cr)]])/(PERCENTILE(Indicators!$K$2:$K$121,0.95)-PERCENTILE(Indicators!$K$2:$K$121,0.05))*10))</f>
        <v>5.5793393585467408</v>
      </c>
    </row>
    <row r="50" spans="5:14" s="22" customFormat="1" x14ac:dyDescent="0.35">
      <c r="E50" s="38">
        <v>43221</v>
      </c>
      <c r="F50" s="24">
        <f>MAX(0,MIN(10,(PERCENTILE(Indicators!$K$2:$K$121,0.95)-Table1[[#This Row],[Net FII (cr)]])/(PERCENTILE(Indicators!$K$2:$K$121,0.95)-PERCENTILE(Indicators!$K$2:$K$121,0.05))*10))</f>
        <v>7.6313726991619806</v>
      </c>
      <c r="G50" s="24">
        <f>MAX(0,MIN(10,(Indicators!C51-PERCENTILE(Indicators!$C:$C,0.05))/(PERCENTILE(Indicators!$C:$C,0.95)-PERCENTILE(Indicators!$C:$C,0.05))*10))</f>
        <v>4.5945133636741469</v>
      </c>
      <c r="H50" s="37">
        <f>MAX(0,MIN(10,(Indicators!D51-PERCENTILE(Indicators!$D:$D,0.05))/(PERCENTILE(Indicators!$D:$D,0.95)-PERCENTILE(Indicators!$D:$D,0.05))*10))</f>
        <v>5</v>
      </c>
      <c r="I50" s="24">
        <f>MAX(0,MIN(10,(Table1[[#This Row],[INDIA VIX]]-PERCENTILE(Indicators!$E$2:$E$121,0.05))/(PERCENTILE(Indicators!$E$2:$E$121,0.95)-PERCENTILE(Indicators!$E$2:$E$121,0.05))*10))</f>
        <v>0.38531454170691476</v>
      </c>
      <c r="J50" s="24">
        <f>MAX(0,MIN(10,(Indicators!G51-PERCENTILE(Indicators!$G:$G,0.05))/(PERCENTILE(Indicators!$G:$G,0.95)-PERCENTILE(Indicators!$G:$G,0.05))*10))</f>
        <v>1.1926051067694083</v>
      </c>
      <c r="K50" s="24">
        <f>MAX(0,MIN(10,(Indicators!H51-PERCENTILE(Indicators!$H:$H,0.05))/(PERCENTILE(Indicators!$H:$H,0.95)-PERCENTILE(Indicators!$H:$H,0.05))*10))</f>
        <v>5.7082984073763656</v>
      </c>
      <c r="L50" s="24">
        <f>MAX(0,MIN(10,(Indicators!I51-PERCENTILE(Indicators!$I:$I,0.05))/(PERCENTILE(Indicators!$I:$I,0.95)-PERCENTILE(Indicators!$I:$I,0.05))*10))</f>
        <v>7.5608123186788667</v>
      </c>
      <c r="M50" s="24">
        <f>MAX(0,MIN(10,(Indicators!J51-PERCENTILE(Indicators!$J:$J,0.05))/(PERCENTILE(Indicators!$J:$J,0.95)-PERCENTILE(Indicators!$J:$J,0.05))*10))</f>
        <v>6.389069817933688</v>
      </c>
      <c r="N50" s="24">
        <f>MAX(0,MIN(10,(PERCENTILE(Indicators!$K$2:$K$121,0.95)-Table1[[#This Row],[Net FII (cr)]])/(PERCENTILE(Indicators!$K$2:$K$121,0.95)-PERCENTILE(Indicators!$K$2:$K$121,0.05))*10))</f>
        <v>7.6313726991619806</v>
      </c>
    </row>
    <row r="51" spans="5:14" s="22" customFormat="1" x14ac:dyDescent="0.35">
      <c r="E51" s="38">
        <v>43252</v>
      </c>
      <c r="F51" s="24">
        <f>MAX(0,MIN(10,(PERCENTILE(Indicators!$K$2:$K$121,0.95)-Table1[[#This Row],[Net FII (cr)]])/(PERCENTILE(Indicators!$K$2:$K$121,0.95)-PERCENTILE(Indicators!$K$2:$K$121,0.05))*10))</f>
        <v>9.2320780680280077</v>
      </c>
      <c r="G51" s="24">
        <f>MAX(0,MIN(10,(Indicators!C52-PERCENTILE(Indicators!$C:$C,0.05))/(PERCENTILE(Indicators!$C:$C,0.95)-PERCENTILE(Indicators!$C:$C,0.05))*10))</f>
        <v>4.7009415122356994</v>
      </c>
      <c r="H51" s="37">
        <f>MAX(0,MIN(10,(Indicators!D52-PERCENTILE(Indicators!$D:$D,0.05))/(PERCENTILE(Indicators!$D:$D,0.95)-PERCENTILE(Indicators!$D:$D,0.05))*10))</f>
        <v>5</v>
      </c>
      <c r="I51" s="24">
        <f>MAX(0,MIN(10,(Table1[[#This Row],[INDIA VIX]]-PERCENTILE(Indicators!$E$2:$E$121,0.05))/(PERCENTILE(Indicators!$E$2:$E$121,0.95)-PERCENTILE(Indicators!$E$2:$E$121,0.05))*10))</f>
        <v>0.90859998326703539</v>
      </c>
      <c r="J51" s="24">
        <f>MAX(0,MIN(10,(Indicators!G52-PERCENTILE(Indicators!$G:$G,0.05))/(PERCENTILE(Indicators!$G:$G,0.95)-PERCENTILE(Indicators!$G:$G,0.05))*10))</f>
        <v>0.7824922749950618</v>
      </c>
      <c r="K51" s="24">
        <f>MAX(0,MIN(10,(Indicators!H52-PERCENTILE(Indicators!$H:$H,0.05))/(PERCENTILE(Indicators!$H:$H,0.95)-PERCENTILE(Indicators!$H:$H,0.05))*10))</f>
        <v>4.6186085498742697</v>
      </c>
      <c r="L51" s="24">
        <f>MAX(0,MIN(10,(Indicators!I52-PERCENTILE(Indicators!$I:$I,0.05))/(PERCENTILE(Indicators!$I:$I,0.95)-PERCENTILE(Indicators!$I:$I,0.05))*10))</f>
        <v>7.7170274492300823</v>
      </c>
      <c r="M51" s="24">
        <f>MAX(0,MIN(10,(Indicators!J52-PERCENTILE(Indicators!$J:$J,0.05))/(PERCENTILE(Indicators!$J:$J,0.95)-PERCENTILE(Indicators!$J:$J,0.05))*10))</f>
        <v>5.8648925281473909</v>
      </c>
      <c r="N51" s="24">
        <f>MAX(0,MIN(10,(PERCENTILE(Indicators!$K$2:$K$121,0.95)-Table1[[#This Row],[Net FII (cr)]])/(PERCENTILE(Indicators!$K$2:$K$121,0.95)-PERCENTILE(Indicators!$K$2:$K$121,0.05))*10))</f>
        <v>9.2320780680280077</v>
      </c>
    </row>
    <row r="52" spans="5:14" s="22" customFormat="1" x14ac:dyDescent="0.35">
      <c r="E52" s="38">
        <v>43282</v>
      </c>
      <c r="F52" s="24">
        <f>MAX(0,MIN(10,(PERCENTILE(Indicators!$K$2:$K$121,0.95)-Table1[[#This Row],[Net FII (cr)]])/(PERCENTILE(Indicators!$K$2:$K$121,0.95)-PERCENTILE(Indicators!$K$2:$K$121,0.05))*10))</f>
        <v>7.6577226855365597</v>
      </c>
      <c r="G52" s="24">
        <f>MAX(0,MIN(10,(Indicators!C53-PERCENTILE(Indicators!$C:$C,0.05))/(PERCENTILE(Indicators!$C:$C,0.95)-PERCENTILE(Indicators!$C:$C,0.05))*10))</f>
        <v>3.2095403970941003</v>
      </c>
      <c r="H52" s="37">
        <f>MAX(0,MIN(10,(Indicators!D53-PERCENTILE(Indicators!$D:$D,0.05))/(PERCENTILE(Indicators!$D:$D,0.95)-PERCENTILE(Indicators!$D:$D,0.05))*10))</f>
        <v>5.625</v>
      </c>
      <c r="I52" s="24">
        <f>MAX(0,MIN(10,(Table1[[#This Row],[INDIA VIX]]-PERCENTILE(Indicators!$E$2:$E$121,0.05))/(PERCENTILE(Indicators!$E$2:$E$121,0.95)-PERCENTILE(Indicators!$E$2:$E$121,0.05))*10))</f>
        <v>0.73518562181978586</v>
      </c>
      <c r="J52" s="24">
        <f>MAX(0,MIN(10,(Indicators!G53-PERCENTILE(Indicators!$G:$G,0.05))/(PERCENTILE(Indicators!$G:$G,0.95)-PERCENTILE(Indicators!$G:$G,0.05))*10))</f>
        <v>0</v>
      </c>
      <c r="K52" s="24">
        <f>MAX(0,MIN(10,(Indicators!H53-PERCENTILE(Indicators!$H:$H,0.05))/(PERCENTILE(Indicators!$H:$H,0.95)-PERCENTILE(Indicators!$H:$H,0.05))*10))</f>
        <v>6.5465213746856694</v>
      </c>
      <c r="L52" s="24">
        <f>MAX(0,MIN(10,(Indicators!I53-PERCENTILE(Indicators!$I:$I,0.05))/(PERCENTILE(Indicators!$I:$I,0.95)-PERCENTILE(Indicators!$I:$I,0.05))*10))</f>
        <v>4.3026110243249276</v>
      </c>
      <c r="M52" s="24">
        <f>MAX(0,MIN(10,(Indicators!J53-PERCENTILE(Indicators!$J:$J,0.05))/(PERCENTILE(Indicators!$J:$J,0.95)-PERCENTILE(Indicators!$J:$J,0.05))*10))</f>
        <v>3.231599516144041</v>
      </c>
      <c r="N52" s="24">
        <f>MAX(0,MIN(10,(PERCENTILE(Indicators!$K$2:$K$121,0.95)-Table1[[#This Row],[Net FII (cr)]])/(PERCENTILE(Indicators!$K$2:$K$121,0.95)-PERCENTILE(Indicators!$K$2:$K$121,0.05))*10))</f>
        <v>7.6577226855365597</v>
      </c>
    </row>
    <row r="53" spans="5:14" s="22" customFormat="1" x14ac:dyDescent="0.35">
      <c r="E53" s="38">
        <v>43313</v>
      </c>
      <c r="F53" s="24">
        <f>MAX(0,MIN(10,(PERCENTILE(Indicators!$K$2:$K$121,0.95)-Table1[[#This Row],[Net FII (cr)]])/(PERCENTILE(Indicators!$K$2:$K$121,0.95)-PERCENTILE(Indicators!$K$2:$K$121,0.05))*10))</f>
        <v>5.6241568567394031</v>
      </c>
      <c r="G53" s="24">
        <f>MAX(0,MIN(10,(Indicators!C54-PERCENTILE(Indicators!$C:$C,0.05))/(PERCENTILE(Indicators!$C:$C,0.95)-PERCENTILE(Indicators!$C:$C,0.05))*10))</f>
        <v>2.2565526171341865</v>
      </c>
      <c r="H53" s="37">
        <f>MAX(0,MIN(10,(Indicators!D54-PERCENTILE(Indicators!$D:$D,0.05))/(PERCENTILE(Indicators!$D:$D,0.95)-PERCENTILE(Indicators!$D:$D,0.05))*10))</f>
        <v>6.25</v>
      </c>
      <c r="I53" s="24">
        <f>MAX(0,MIN(10,(Table1[[#This Row],[INDIA VIX]]-PERCENTILE(Indicators!$E$2:$E$121,0.05))/(PERCENTILE(Indicators!$E$2:$E$121,0.95)-PERCENTILE(Indicators!$E$2:$E$121,0.05))*10))</f>
        <v>0.45680993633867528</v>
      </c>
      <c r="J53" s="24">
        <f>MAX(0,MIN(10,(Indicators!G54-PERCENTILE(Indicators!$G:$G,0.05))/(PERCENTILE(Indicators!$G:$G,0.95)-PERCENTILE(Indicators!$G:$G,0.05))*10))</f>
        <v>0</v>
      </c>
      <c r="K53" s="24">
        <f>MAX(0,MIN(10,(Indicators!H54-PERCENTILE(Indicators!$H:$H,0.05))/(PERCENTILE(Indicators!$H:$H,0.95)-PERCENTILE(Indicators!$H:$H,0.05))*10))</f>
        <v>6.7141659681475305</v>
      </c>
      <c r="L53" s="24">
        <f>MAX(0,MIN(10,(Indicators!I54-PERCENTILE(Indicators!$I:$I,0.05))/(PERCENTILE(Indicators!$I:$I,0.95)-PERCENTILE(Indicators!$I:$I,0.05))*10))</f>
        <v>10</v>
      </c>
      <c r="M53" s="24">
        <f>MAX(0,MIN(10,(Indicators!J54-PERCENTILE(Indicators!$J:$J,0.05))/(PERCENTILE(Indicators!$J:$J,0.95)-PERCENTILE(Indicators!$J:$J,0.05))*10))</f>
        <v>6.6309977978350556</v>
      </c>
      <c r="N53" s="24">
        <f>MAX(0,MIN(10,(PERCENTILE(Indicators!$K$2:$K$121,0.95)-Table1[[#This Row],[Net FII (cr)]])/(PERCENTILE(Indicators!$K$2:$K$121,0.95)-PERCENTILE(Indicators!$K$2:$K$121,0.05))*10))</f>
        <v>5.6241568567394031</v>
      </c>
    </row>
    <row r="54" spans="5:14" s="22" customFormat="1" x14ac:dyDescent="0.35">
      <c r="E54" s="38">
        <v>43344</v>
      </c>
      <c r="F54" s="24">
        <f>MAX(0,MIN(10,(PERCENTILE(Indicators!$K$2:$K$121,0.95)-Table1[[#This Row],[Net FII (cr)]])/(PERCENTILE(Indicators!$K$2:$K$121,0.95)-PERCENTILE(Indicators!$K$2:$K$121,0.05))*10))</f>
        <v>5.299624118570434</v>
      </c>
      <c r="G54" s="24">
        <f>MAX(0,MIN(10,(Indicators!C55-PERCENTILE(Indicators!$C:$C,0.05))/(PERCENTILE(Indicators!$C:$C,0.95)-PERCENTILE(Indicators!$C:$C,0.05))*10))</f>
        <v>2.2673955682320397</v>
      </c>
      <c r="H54" s="37">
        <f>MAX(0,MIN(10,(Indicators!D55-PERCENTILE(Indicators!$D:$D,0.05))/(PERCENTILE(Indicators!$D:$D,0.95)-PERCENTILE(Indicators!$D:$D,0.05))*10))</f>
        <v>6.25</v>
      </c>
      <c r="I54" s="24">
        <f>MAX(0,MIN(10,(Table1[[#This Row],[INDIA VIX]]-PERCENTILE(Indicators!$E$2:$E$121,0.05))/(PERCENTILE(Indicators!$E$2:$E$121,0.95)-PERCENTILE(Indicators!$E$2:$E$121,0.05))*10))</f>
        <v>0.52830533097043575</v>
      </c>
      <c r="J54" s="24">
        <f>MAX(0,MIN(10,(Indicators!G55-PERCENTILE(Indicators!$G:$G,0.05))/(PERCENTILE(Indicators!$G:$G,0.95)-PERCENTILE(Indicators!$G:$G,0.05))*10))</f>
        <v>0.49129988869311741</v>
      </c>
      <c r="K54" s="24">
        <f>MAX(0,MIN(10,(Indicators!H55-PERCENTILE(Indicators!$H:$H,0.05))/(PERCENTILE(Indicators!$H:$H,0.95)-PERCENTILE(Indicators!$H:$H,0.05))*10))</f>
        <v>5.0377200335289221</v>
      </c>
      <c r="L54" s="24">
        <f>MAX(0,MIN(10,(Indicators!I55-PERCENTILE(Indicators!$I:$I,0.05))/(PERCENTILE(Indicators!$I:$I,0.95)-PERCENTILE(Indicators!$I:$I,0.05))*10))</f>
        <v>9.0113813880830165</v>
      </c>
      <c r="M54" s="24">
        <f>MAX(0,MIN(10,(Indicators!J55-PERCENTILE(Indicators!$J:$J,0.05))/(PERCENTILE(Indicators!$J:$J,0.95)-PERCENTILE(Indicators!$J:$J,0.05))*10))</f>
        <v>7.2327161068205097</v>
      </c>
      <c r="N54" s="24">
        <f>MAX(0,MIN(10,(PERCENTILE(Indicators!$K$2:$K$121,0.95)-Table1[[#This Row],[Net FII (cr)]])/(PERCENTILE(Indicators!$K$2:$K$121,0.95)-PERCENTILE(Indicators!$K$2:$K$121,0.05))*10))</f>
        <v>5.299624118570434</v>
      </c>
    </row>
    <row r="55" spans="5:14" s="22" customFormat="1" x14ac:dyDescent="0.35">
      <c r="E55" s="38">
        <v>43374</v>
      </c>
      <c r="F55" s="24">
        <f>MAX(0,MIN(10,(PERCENTILE(Indicators!$K$2:$K$121,0.95)-Table1[[#This Row],[Net FII (cr)]])/(PERCENTILE(Indicators!$K$2:$K$121,0.95)-PERCENTILE(Indicators!$K$2:$K$121,0.05))*10))</f>
        <v>8.247782209480139</v>
      </c>
      <c r="G55" s="24">
        <f>MAX(0,MIN(10,(Indicators!C56-PERCENTILE(Indicators!$C:$C,0.05))/(PERCENTILE(Indicators!$C:$C,0.95)-PERCENTILE(Indicators!$C:$C,0.05))*10))</f>
        <v>1.6354823999933807</v>
      </c>
      <c r="H55" s="37">
        <f>MAX(0,MIN(10,(Indicators!D56-PERCENTILE(Indicators!$D:$D,0.05))/(PERCENTILE(Indicators!$D:$D,0.95)-PERCENTILE(Indicators!$D:$D,0.05))*10))</f>
        <v>6.25</v>
      </c>
      <c r="I55" s="24">
        <f>MAX(0,MIN(10,(Table1[[#This Row],[INDIA VIX]]-PERCENTILE(Indicators!$E$2:$E$121,0.05))/(PERCENTILE(Indicators!$E$2:$E$121,0.95)-PERCENTILE(Indicators!$E$2:$E$121,0.05))*10))</f>
        <v>3.2040585045293102</v>
      </c>
      <c r="J55" s="24">
        <f>MAX(0,MIN(10,(Indicators!G56-PERCENTILE(Indicators!$G:$G,0.05))/(PERCENTILE(Indicators!$G:$G,0.95)-PERCENTILE(Indicators!$G:$G,0.05))*10))</f>
        <v>2.2041289406337596</v>
      </c>
      <c r="K55" s="24">
        <f>MAX(0,MIN(10,(Indicators!H56-PERCENTILE(Indicators!$H:$H,0.05))/(PERCENTILE(Indicators!$H:$H,0.95)-PERCENTILE(Indicators!$H:$H,0.05))*10))</f>
        <v>3.8642078792958969</v>
      </c>
      <c r="L55" s="24">
        <f>MAX(0,MIN(10,(Indicators!I56-PERCENTILE(Indicators!$I:$I,0.05))/(PERCENTILE(Indicators!$I:$I,0.95)-PERCENTILE(Indicators!$I:$I,0.05))*10))</f>
        <v>8.7659004686453912</v>
      </c>
      <c r="M55" s="24">
        <f>MAX(0,MIN(10,(Indicators!J56-PERCENTILE(Indicators!$J:$J,0.05))/(PERCENTILE(Indicators!$J:$J,0.95)-PERCENTILE(Indicators!$J:$J,0.05))*10))</f>
        <v>2.3135138488260294</v>
      </c>
      <c r="N55" s="24">
        <f>MAX(0,MIN(10,(PERCENTILE(Indicators!$K$2:$K$121,0.95)-Table1[[#This Row],[Net FII (cr)]])/(PERCENTILE(Indicators!$K$2:$K$121,0.95)-PERCENTILE(Indicators!$K$2:$K$121,0.05))*10))</f>
        <v>8.247782209480139</v>
      </c>
    </row>
    <row r="56" spans="5:14" s="22" customFormat="1" x14ac:dyDescent="0.35">
      <c r="E56" s="38">
        <v>43405</v>
      </c>
      <c r="F56" s="24">
        <f>MAX(0,MIN(10,(PERCENTILE(Indicators!$K$2:$K$121,0.95)-Table1[[#This Row],[Net FII (cr)]])/(PERCENTILE(Indicators!$K$2:$K$121,0.95)-PERCENTILE(Indicators!$K$2:$K$121,0.05))*10))</f>
        <v>10</v>
      </c>
      <c r="G56" s="24">
        <f>MAX(0,MIN(10,(Indicators!C57-PERCENTILE(Indicators!$C:$C,0.05))/(PERCENTILE(Indicators!$C:$C,0.95)-PERCENTILE(Indicators!$C:$C,0.05))*10))</f>
        <v>0</v>
      </c>
      <c r="H56" s="37">
        <f>MAX(0,MIN(10,(Indicators!D57-PERCENTILE(Indicators!$D:$D,0.05))/(PERCENTILE(Indicators!$D:$D,0.95)-PERCENTILE(Indicators!$D:$D,0.05))*10))</f>
        <v>6.25</v>
      </c>
      <c r="I56" s="24">
        <f>MAX(0,MIN(10,(Table1[[#This Row],[INDIA VIX]]-PERCENTILE(Indicators!$E$2:$E$121,0.05))/(PERCENTILE(Indicators!$E$2:$E$121,0.95)-PERCENTILE(Indicators!$E$2:$E$121,0.05))*10))</f>
        <v>4.9092997254272612</v>
      </c>
      <c r="J56" s="24">
        <f>MAX(0,MIN(10,(Indicators!G57-PERCENTILE(Indicators!$G:$G,0.05))/(PERCENTILE(Indicators!$G:$G,0.95)-PERCENTILE(Indicators!$G:$G,0.05))*10))</f>
        <v>0.41636633286449481</v>
      </c>
      <c r="K56" s="24">
        <f>MAX(0,MIN(10,(Indicators!H57-PERCENTILE(Indicators!$H:$H,0.05))/(PERCENTILE(Indicators!$H:$H,0.95)-PERCENTILE(Indicators!$H:$H,0.05))*10))</f>
        <v>4.9538977367979928</v>
      </c>
      <c r="L56" s="24">
        <f>MAX(0,MIN(10,(Indicators!I57-PERCENTILE(Indicators!$I:$I,0.05))/(PERCENTILE(Indicators!$I:$I,0.95)-PERCENTILE(Indicators!$I:$I,0.05))*10))</f>
        <v>0</v>
      </c>
      <c r="M56" s="24">
        <f>MAX(0,MIN(10,(Indicators!J57-PERCENTILE(Indicators!$J:$J,0.05))/(PERCENTILE(Indicators!$J:$J,0.95)-PERCENTILE(Indicators!$J:$J,0.05))*10))</f>
        <v>0</v>
      </c>
      <c r="N56" s="24">
        <f>MAX(0,MIN(10,(PERCENTILE(Indicators!$K$2:$K$121,0.95)-Table1[[#This Row],[Net FII (cr)]])/(PERCENTILE(Indicators!$K$2:$K$121,0.95)-PERCENTILE(Indicators!$K$2:$K$121,0.05))*10))</f>
        <v>10</v>
      </c>
    </row>
    <row r="57" spans="5:14" s="22" customFormat="1" x14ac:dyDescent="0.35">
      <c r="E57" s="38">
        <v>43435</v>
      </c>
      <c r="F57" s="24">
        <f>MAX(0,MIN(10,(PERCENTILE(Indicators!$K$2:$K$121,0.95)-Table1[[#This Row],[Net FII (cr)]])/(PERCENTILE(Indicators!$K$2:$K$121,0.95)-PERCENTILE(Indicators!$K$2:$K$121,0.05))*10))</f>
        <v>4.5734229983581924</v>
      </c>
      <c r="G57" s="24">
        <f>MAX(0,MIN(10,(Indicators!C58-PERCENTILE(Indicators!$C:$C,0.05))/(PERCENTILE(Indicators!$C:$C,0.95)-PERCENTILE(Indicators!$C:$C,0.05))*10))</f>
        <v>0</v>
      </c>
      <c r="H57" s="37">
        <f>MAX(0,MIN(10,(Indicators!D58-PERCENTILE(Indicators!$D:$D,0.05))/(PERCENTILE(Indicators!$D:$D,0.95)-PERCENTILE(Indicators!$D:$D,0.05))*10))</f>
        <v>6.25</v>
      </c>
      <c r="I57" s="24">
        <f>MAX(0,MIN(10,(Table1[[#This Row],[INDIA VIX]]-PERCENTILE(Indicators!$E$2:$E$121,0.05))/(PERCENTILE(Indicators!$E$2:$E$121,0.95)-PERCENTILE(Indicators!$E$2:$E$121,0.05))*10))</f>
        <v>4.5229203586939173</v>
      </c>
      <c r="J57" s="24">
        <f>MAX(0,MIN(10,(Indicators!G58-PERCENTILE(Indicators!$G:$G,0.05))/(PERCENTILE(Indicators!$G:$G,0.95)-PERCENTILE(Indicators!$G:$G,0.05))*10))</f>
        <v>1.2377974166293684</v>
      </c>
      <c r="K57" s="24">
        <f>MAX(0,MIN(10,(Indicators!H58-PERCENTILE(Indicators!$H:$H,0.05))/(PERCENTILE(Indicators!$H:$H,0.95)-PERCENTILE(Indicators!$H:$H,0.05))*10))</f>
        <v>4.8700754400670618</v>
      </c>
      <c r="L57" s="24">
        <f>MAX(0,MIN(10,(Indicators!I58-PERCENTILE(Indicators!$I:$I,0.05))/(PERCENTILE(Indicators!$I:$I,0.95)-PERCENTILE(Indicators!$I:$I,0.05))*10))</f>
        <v>4.0571301048873023</v>
      </c>
      <c r="M57" s="24">
        <f>MAX(0,MIN(10,(Indicators!J58-PERCENTILE(Indicators!$J:$J,0.05))/(PERCENTILE(Indicators!$J:$J,0.95)-PERCENTILE(Indicators!$J:$J,0.05))*10))</f>
        <v>2.3600384603455233</v>
      </c>
      <c r="N57" s="24">
        <f>MAX(0,MIN(10,(PERCENTILE(Indicators!$K$2:$K$121,0.95)-Table1[[#This Row],[Net FII (cr)]])/(PERCENTILE(Indicators!$K$2:$K$121,0.95)-PERCENTILE(Indicators!$K$2:$K$121,0.05))*10))</f>
        <v>4.5734229983581924</v>
      </c>
    </row>
    <row r="58" spans="5:14" s="22" customFormat="1" x14ac:dyDescent="0.35">
      <c r="E58" s="38">
        <v>43466</v>
      </c>
      <c r="F58" s="24">
        <f>MAX(0,MIN(10,(PERCENTILE(Indicators!$K$2:$K$121,0.95)-Table1[[#This Row],[Net FII (cr)]])/(PERCENTILE(Indicators!$K$2:$K$121,0.95)-PERCENTILE(Indicators!$K$2:$K$121,0.05))*10))</f>
        <v>4.9907437227350835</v>
      </c>
      <c r="G58" s="24">
        <f>MAX(0,MIN(10,(Indicators!C59-PERCENTILE(Indicators!$C:$C,0.05))/(PERCENTILE(Indicators!$C:$C,0.95)-PERCENTILE(Indicators!$C:$C,0.05))*10))</f>
        <v>0</v>
      </c>
      <c r="H58" s="37">
        <f>MAX(0,MIN(10,(Indicators!D59-PERCENTILE(Indicators!$D:$D,0.05))/(PERCENTILE(Indicators!$D:$D,0.95)-PERCENTILE(Indicators!$D:$D,0.05))*10))</f>
        <v>6.25</v>
      </c>
      <c r="I58" s="24">
        <f>MAX(0,MIN(10,(Table1[[#This Row],[INDIA VIX]]-PERCENTILE(Indicators!$E$2:$E$121,0.05))/(PERCENTILE(Indicators!$E$2:$E$121,0.95)-PERCENTILE(Indicators!$E$2:$E$121,0.05))*10))</f>
        <v>2.5986294180731235</v>
      </c>
      <c r="J58" s="24">
        <f>MAX(0,MIN(10,(Indicators!G59-PERCENTILE(Indicators!$G:$G,0.05))/(PERCENTILE(Indicators!$G:$G,0.95)-PERCENTILE(Indicators!$G:$G,0.05))*10))</f>
        <v>2.1906383007073837</v>
      </c>
      <c r="K58" s="24">
        <f>MAX(0,MIN(10,(Indicators!H59-PERCENTILE(Indicators!$H:$H,0.05))/(PERCENTILE(Indicators!$H:$H,0.95)-PERCENTILE(Indicators!$H:$H,0.05))*10))</f>
        <v>4.9538977367979928</v>
      </c>
      <c r="L58" s="24">
        <f>MAX(0,MIN(10,(Indicators!I59-PERCENTILE(Indicators!$I:$I,0.05))/(PERCENTILE(Indicators!$I:$I,0.95)-PERCENTILE(Indicators!$I:$I,0.05))*10))</f>
        <v>8.7659004686453912</v>
      </c>
      <c r="M58" s="24">
        <f>MAX(0,MIN(10,(Indicators!J59-PERCENTILE(Indicators!$J:$J,0.05))/(PERCENTILE(Indicators!$J:$J,0.95)-PERCENTILE(Indicators!$J:$J,0.05))*10))</f>
        <v>9.1123104122080587</v>
      </c>
      <c r="N58" s="24">
        <f>MAX(0,MIN(10,(PERCENTILE(Indicators!$K$2:$K$121,0.95)-Table1[[#This Row],[Net FII (cr)]])/(PERCENTILE(Indicators!$K$2:$K$121,0.95)-PERCENTILE(Indicators!$K$2:$K$121,0.05))*10))</f>
        <v>4.9907437227350835</v>
      </c>
    </row>
    <row r="59" spans="5:14" s="22" customFormat="1" x14ac:dyDescent="0.35">
      <c r="E59" s="38">
        <v>43497</v>
      </c>
      <c r="F59" s="24">
        <f>MAX(0,MIN(10,(PERCENTILE(Indicators!$K$2:$K$121,0.95)-Table1[[#This Row],[Net FII (cr)]])/(PERCENTILE(Indicators!$K$2:$K$121,0.95)-PERCENTILE(Indicators!$K$2:$K$121,0.05))*10))</f>
        <v>6.5047418714796299</v>
      </c>
      <c r="G59" s="24">
        <f>MAX(0,MIN(10,(Indicators!C60-PERCENTILE(Indicators!$C:$C,0.05))/(PERCENTILE(Indicators!$C:$C,0.95)-PERCENTILE(Indicators!$C:$C,0.05))*10))</f>
        <v>1.9985679507776629E-2</v>
      </c>
      <c r="H59" s="37">
        <f>MAX(0,MIN(10,(Indicators!D60-PERCENTILE(Indicators!$D:$D,0.05))/(PERCENTILE(Indicators!$D:$D,0.95)-PERCENTILE(Indicators!$D:$D,0.05))*10))</f>
        <v>5.625</v>
      </c>
      <c r="I59" s="24">
        <f>MAX(0,MIN(10,(Table1[[#This Row],[INDIA VIX]]-PERCENTILE(Indicators!$E$2:$E$121,0.05))/(PERCENTILE(Indicators!$E$2:$E$121,0.95)-PERCENTILE(Indicators!$E$2:$E$121,0.05))*10))</f>
        <v>3.2816386135978153</v>
      </c>
      <c r="J59" s="24">
        <f>MAX(0,MIN(10,(Indicators!G60-PERCENTILE(Indicators!$G:$G,0.05))/(PERCENTILE(Indicators!$G:$G,0.95)-PERCENTILE(Indicators!$G:$G,0.05))*10))</f>
        <v>2.2648563029063506</v>
      </c>
      <c r="K59" s="24">
        <f>MAX(0,MIN(10,(Indicators!H60-PERCENTILE(Indicators!$H:$H,0.05))/(PERCENTILE(Indicators!$H:$H,0.95)-PERCENTILE(Indicators!$H:$H,0.05))*10))</f>
        <v>4.9538977367979928</v>
      </c>
      <c r="L59" s="24">
        <f>MAX(0,MIN(10,(Indicators!I60-PERCENTILE(Indicators!$I:$I,0.05))/(PERCENTILE(Indicators!$I:$I,0.95)-PERCENTILE(Indicators!$I:$I,0.05))*10))</f>
        <v>3.9232314215576878</v>
      </c>
      <c r="M59" s="24">
        <f>MAX(0,MIN(10,(Indicators!J60-PERCENTILE(Indicators!$J:$J,0.05))/(PERCENTILE(Indicators!$J:$J,0.95)-PERCENTILE(Indicators!$J:$J,0.05))*10))</f>
        <v>7.9864148134363084</v>
      </c>
      <c r="N59" s="24">
        <f>MAX(0,MIN(10,(PERCENTILE(Indicators!$K$2:$K$121,0.95)-Table1[[#This Row],[Net FII (cr)]])/(PERCENTILE(Indicators!$K$2:$K$121,0.95)-PERCENTILE(Indicators!$K$2:$K$121,0.05))*10))</f>
        <v>6.5047418714796299</v>
      </c>
    </row>
    <row r="60" spans="5:14" s="22" customFormat="1" x14ac:dyDescent="0.35">
      <c r="E60" s="38">
        <v>43525</v>
      </c>
      <c r="F60" s="24">
        <f>MAX(0,MIN(10,(PERCENTILE(Indicators!$K$2:$K$121,0.95)-Table1[[#This Row],[Net FII (cr)]])/(PERCENTILE(Indicators!$K$2:$K$121,0.95)-PERCENTILE(Indicators!$K$2:$K$121,0.05))*10))</f>
        <v>4.5218490934028193</v>
      </c>
      <c r="G60" s="24">
        <f>MAX(0,MIN(10,(Indicators!C61-PERCENTILE(Indicators!$C:$C,0.05))/(PERCENTILE(Indicators!$C:$C,0.95)-PERCENTILE(Indicators!$C:$C,0.05))*10))</f>
        <v>0.59791568165361575</v>
      </c>
      <c r="H60" s="37">
        <f>MAX(0,MIN(10,(Indicators!D61-PERCENTILE(Indicators!$D:$D,0.05))/(PERCENTILE(Indicators!$D:$D,0.95)-PERCENTILE(Indicators!$D:$D,0.05))*10))</f>
        <v>5.625</v>
      </c>
      <c r="I60" s="24">
        <f>MAX(0,MIN(10,(Table1[[#This Row],[INDIA VIX]]-PERCENTILE(Indicators!$E$2:$E$121,0.05))/(PERCENTILE(Indicators!$E$2:$E$121,0.95)-PERCENTILE(Indicators!$E$2:$E$121,0.05))*10))</f>
        <v>3.9844231310419316</v>
      </c>
      <c r="J60" s="24">
        <f>MAX(0,MIN(10,(Indicators!G61-PERCENTILE(Indicators!$G:$G,0.05))/(PERCENTILE(Indicators!$G:$G,0.95)-PERCENTILE(Indicators!$G:$G,0.05))*10))</f>
        <v>0.14516978140430334</v>
      </c>
      <c r="K60" s="24">
        <f>MAX(0,MIN(10,(Indicators!H61-PERCENTILE(Indicators!$H:$H,0.05))/(PERCENTILE(Indicators!$H:$H,0.95)-PERCENTILE(Indicators!$H:$H,0.05))*10))</f>
        <v>7.2170997485331148</v>
      </c>
      <c r="L60" s="24">
        <f>MAX(0,MIN(10,(Indicators!I61-PERCENTILE(Indicators!$I:$I,0.05))/(PERCENTILE(Indicators!$I:$I,0.95)-PERCENTILE(Indicators!$I:$I,0.05))*10))</f>
        <v>0</v>
      </c>
      <c r="M60" s="24">
        <f>MAX(0,MIN(10,(Indicators!J61-PERCENTILE(Indicators!$J:$J,0.05))/(PERCENTILE(Indicators!$J:$J,0.95)-PERCENTILE(Indicators!$J:$J,0.05))*10))</f>
        <v>5.7935547904841664</v>
      </c>
      <c r="N60" s="24">
        <f>MAX(0,MIN(10,(PERCENTILE(Indicators!$K$2:$K$121,0.95)-Table1[[#This Row],[Net FII (cr)]])/(PERCENTILE(Indicators!$K$2:$K$121,0.95)-PERCENTILE(Indicators!$K$2:$K$121,0.05))*10))</f>
        <v>4.5218490934028193</v>
      </c>
    </row>
    <row r="61" spans="5:14" s="22" customFormat="1" x14ac:dyDescent="0.35">
      <c r="E61" s="38">
        <v>43556</v>
      </c>
      <c r="F61" s="24">
        <f>MAX(0,MIN(10,(PERCENTILE(Indicators!$K$2:$K$121,0.95)-Table1[[#This Row],[Net FII (cr)]])/(PERCENTILE(Indicators!$K$2:$K$121,0.95)-PERCENTILE(Indicators!$K$2:$K$121,0.05))*10))</f>
        <v>0.389405503768948</v>
      </c>
      <c r="G61" s="24">
        <f>MAX(0,MIN(10,(Indicators!C62-PERCENTILE(Indicators!$C:$C,0.05))/(PERCENTILE(Indicators!$C:$C,0.95)-PERCENTILE(Indicators!$C:$C,0.05))*10))</f>
        <v>0.86265431945577331</v>
      </c>
      <c r="H61" s="37">
        <f>MAX(0,MIN(10,(Indicators!D62-PERCENTILE(Indicators!$D:$D,0.05))/(PERCENTILE(Indicators!$D:$D,0.95)-PERCENTILE(Indicators!$D:$D,0.05))*10))</f>
        <v>5</v>
      </c>
      <c r="I61" s="24">
        <f>MAX(0,MIN(10,(Table1[[#This Row],[INDIA VIX]]-PERCENTILE(Indicators!$E$2:$E$121,0.05))/(PERCENTILE(Indicators!$E$2:$E$121,0.95)-PERCENTILE(Indicators!$E$2:$E$121,0.05))*10))</f>
        <v>3.3196680788274753</v>
      </c>
      <c r="J61" s="24">
        <f>MAX(0,MIN(10,(Indicators!G62-PERCENTILE(Indicators!$G:$G,0.05))/(PERCENTILE(Indicators!$G:$G,0.95)-PERCENTILE(Indicators!$G:$G,0.05))*10))</f>
        <v>5.7622740672070181E-3</v>
      </c>
      <c r="K61" s="24">
        <f>MAX(0,MIN(10,(Indicators!H62-PERCENTILE(Indicators!$H:$H,0.05))/(PERCENTILE(Indicators!$H:$H,0.95)-PERCENTILE(Indicators!$H:$H,0.05))*10))</f>
        <v>7.4685666387259069</v>
      </c>
      <c r="L61" s="24">
        <f>MAX(0,MIN(10,(Indicators!I62-PERCENTILE(Indicators!$I:$I,0.05))/(PERCENTILE(Indicators!$I:$I,0.95)-PERCENTILE(Indicators!$I:$I,0.05))*10))</f>
        <v>5.7754965409506811</v>
      </c>
      <c r="M61" s="24">
        <f>MAX(0,MIN(10,(Indicators!J62-PERCENTILE(Indicators!$J:$J,0.05))/(PERCENTILE(Indicators!$J:$J,0.95)-PERCENTILE(Indicators!$J:$J,0.05))*10))</f>
        <v>7.2544275921962731</v>
      </c>
      <c r="N61" s="24">
        <f>MAX(0,MIN(10,(PERCENTILE(Indicators!$K$2:$K$121,0.95)-Table1[[#This Row],[Net FII (cr)]])/(PERCENTILE(Indicators!$K$2:$K$121,0.95)-PERCENTILE(Indicators!$K$2:$K$121,0.05))*10))</f>
        <v>0.389405503768948</v>
      </c>
    </row>
    <row r="62" spans="5:14" s="22" customFormat="1" x14ac:dyDescent="0.35">
      <c r="E62" s="38">
        <v>43586</v>
      </c>
      <c r="F62" s="24">
        <f>MAX(0,MIN(10,(PERCENTILE(Indicators!$K$2:$K$121,0.95)-Table1[[#This Row],[Net FII (cr)]])/(PERCENTILE(Indicators!$K$2:$K$121,0.95)-PERCENTILE(Indicators!$K$2:$K$121,0.05))*10))</f>
        <v>3.9954123998081177</v>
      </c>
      <c r="G62" s="24">
        <f>MAX(0,MIN(10,(Indicators!C63-PERCENTILE(Indicators!$C:$C,0.05))/(PERCENTILE(Indicators!$C:$C,0.95)-PERCENTILE(Indicators!$C:$C,0.05))*10))</f>
        <v>0.97654428587238384</v>
      </c>
      <c r="H62" s="37">
        <f>MAX(0,MIN(10,(Indicators!D63-PERCENTILE(Indicators!$D:$D,0.05))/(PERCENTILE(Indicators!$D:$D,0.95)-PERCENTILE(Indicators!$D:$D,0.05))*10))</f>
        <v>5</v>
      </c>
      <c r="I62" s="24">
        <f>MAX(0,MIN(10,(Table1[[#This Row],[INDIA VIX]]-PERCENTILE(Indicators!$E$2:$E$121,0.05))/(PERCENTILE(Indicators!$E$2:$E$121,0.95)-PERCENTILE(Indicators!$E$2:$E$121,0.05))*10))</f>
        <v>6.1444967560866175</v>
      </c>
      <c r="J62" s="24">
        <f>MAX(0,MIN(10,(Indicators!G63-PERCENTILE(Indicators!$G:$G,0.05))/(PERCENTILE(Indicators!$G:$G,0.95)-PERCENTILE(Indicators!$G:$G,0.05))*10))</f>
        <v>0</v>
      </c>
      <c r="K62" s="24">
        <f>MAX(0,MIN(10,(Indicators!H63-PERCENTILE(Indicators!$H:$H,0.05))/(PERCENTILE(Indicators!$H:$H,0.95)-PERCENTILE(Indicators!$H:$H,0.05))*10))</f>
        <v>7.6362112321877671</v>
      </c>
      <c r="L62" s="24">
        <f>MAX(0,MIN(10,(Indicators!I63-PERCENTILE(Indicators!$I:$I,0.05))/(PERCENTILE(Indicators!$I:$I,0.95)-PERCENTILE(Indicators!$I:$I,0.05))*10))</f>
        <v>4.1017629993305063</v>
      </c>
      <c r="M62" s="24">
        <f>MAX(0,MIN(10,(Indicators!J63-PERCENTILE(Indicators!$J:$J,0.05))/(PERCENTILE(Indicators!$J:$J,0.95)-PERCENTILE(Indicators!$J:$J,0.05))*10))</f>
        <v>0.86504761018578913</v>
      </c>
      <c r="N62" s="24">
        <f>MAX(0,MIN(10,(PERCENTILE(Indicators!$K$2:$K$121,0.95)-Table1[[#This Row],[Net FII (cr)]])/(PERCENTILE(Indicators!$K$2:$K$121,0.95)-PERCENTILE(Indicators!$K$2:$K$121,0.05))*10))</f>
        <v>3.9954123998081177</v>
      </c>
    </row>
    <row r="63" spans="5:14" s="22" customFormat="1" x14ac:dyDescent="0.35">
      <c r="E63" s="38">
        <v>43617</v>
      </c>
      <c r="F63" s="24">
        <f>MAX(0,MIN(10,(PERCENTILE(Indicators!$K$2:$K$121,0.95)-Table1[[#This Row],[Net FII (cr)]])/(PERCENTILE(Indicators!$K$2:$K$121,0.95)-PERCENTILE(Indicators!$K$2:$K$121,0.05))*10))</f>
        <v>4.5987595237183658</v>
      </c>
      <c r="G63" s="24">
        <f>MAX(0,MIN(10,(Indicators!C64-PERCENTILE(Indicators!$C:$C,0.05))/(PERCENTILE(Indicators!$C:$C,0.95)-PERCENTILE(Indicators!$C:$C,0.05))*10))</f>
        <v>1.2325984910641639</v>
      </c>
      <c r="H63" s="37">
        <f>MAX(0,MIN(10,(Indicators!D64-PERCENTILE(Indicators!$D:$D,0.05))/(PERCENTILE(Indicators!$D:$D,0.95)-PERCENTILE(Indicators!$D:$D,0.05))*10))</f>
        <v>4.375</v>
      </c>
      <c r="I63" s="24">
        <f>MAX(0,MIN(10,(Table1[[#This Row],[INDIA VIX]]-PERCENTILE(Indicators!$E$2:$E$121,0.05))/(PERCENTILE(Indicators!$E$2:$E$121,0.95)-PERCENTILE(Indicators!$E$2:$E$121,0.05))*10))</f>
        <v>2.6397012405211555</v>
      </c>
      <c r="J63" s="24">
        <f>MAX(0,MIN(10,(Indicators!G64-PERCENTILE(Indicators!$G:$G,0.05))/(PERCENTILE(Indicators!$G:$G,0.95)-PERCENTILE(Indicators!$G:$G,0.05))*10))</f>
        <v>1.3569148116826901</v>
      </c>
      <c r="K63" s="24">
        <f>MAX(0,MIN(10,(Indicators!H64-PERCENTILE(Indicators!$H:$H,0.05))/(PERCENTILE(Indicators!$H:$H,0.95)-PERCENTILE(Indicators!$H:$H,0.05))*10))</f>
        <v>7.2170997485331148</v>
      </c>
      <c r="L63" s="24">
        <f>MAX(0,MIN(10,(Indicators!I64-PERCENTILE(Indicators!$I:$I,0.05))/(PERCENTILE(Indicators!$I:$I,0.95)-PERCENTILE(Indicators!$I:$I,0.05))*10))</f>
        <v>2.2718143271591158</v>
      </c>
      <c r="M63" s="24">
        <f>MAX(0,MIN(10,(Indicators!J64-PERCENTILE(Indicators!$J:$J,0.05))/(PERCENTILE(Indicators!$J:$J,0.95)-PERCENTILE(Indicators!$J:$J,0.05))*10))</f>
        <v>6.5751682640116629</v>
      </c>
      <c r="N63" s="24">
        <f>MAX(0,MIN(10,(PERCENTILE(Indicators!$K$2:$K$121,0.95)-Table1[[#This Row],[Net FII (cr)]])/(PERCENTILE(Indicators!$K$2:$K$121,0.95)-PERCENTILE(Indicators!$K$2:$K$121,0.05))*10))</f>
        <v>4.5987595237183658</v>
      </c>
    </row>
    <row r="64" spans="5:14" s="22" customFormat="1" x14ac:dyDescent="0.35">
      <c r="E64" s="38">
        <v>43647</v>
      </c>
      <c r="F64" s="24">
        <f>MAX(0,MIN(10,(PERCENTILE(Indicators!$K$2:$K$121,0.95)-Table1[[#This Row],[Net FII (cr)]])/(PERCENTILE(Indicators!$K$2:$K$121,0.95)-PERCENTILE(Indicators!$K$2:$K$121,0.05))*10))</f>
        <v>4.4027111208203173</v>
      </c>
      <c r="G64" s="24">
        <f>MAX(0,MIN(10,(Indicators!C65-PERCENTILE(Indicators!$C:$C,0.05))/(PERCENTILE(Indicators!$C:$C,0.95)-PERCENTILE(Indicators!$C:$C,0.05))*10))</f>
        <v>1.1739601143766927</v>
      </c>
      <c r="H64" s="37">
        <f>MAX(0,MIN(10,(Indicators!D65-PERCENTILE(Indicators!$D:$D,0.05))/(PERCENTILE(Indicators!$D:$D,0.95)-PERCENTILE(Indicators!$D:$D,0.05))*10))</f>
        <v>4.375</v>
      </c>
      <c r="I64" s="24">
        <f>MAX(0,MIN(10,(Table1[[#This Row],[INDIA VIX]]-PERCENTILE(Indicators!$E$2:$E$121,0.05))/(PERCENTILE(Indicators!$E$2:$E$121,0.95)-PERCENTILE(Indicators!$E$2:$E$121,0.05))*10))</f>
        <v>1.9612555808240228</v>
      </c>
      <c r="J64" s="24">
        <f>MAX(0,MIN(10,(Indicators!G65-PERCENTILE(Indicators!$G:$G,0.05))/(PERCENTILE(Indicators!$G:$G,0.95)-PERCENTILE(Indicators!$G:$G,0.05))*10))</f>
        <v>2.6021238946525105</v>
      </c>
      <c r="K64" s="24">
        <f>MAX(0,MIN(10,(Indicators!H65-PERCENTILE(Indicators!$H:$H,0.05))/(PERCENTILE(Indicators!$H:$H,0.95)-PERCENTILE(Indicators!$H:$H,0.05))*10))</f>
        <v>5.8759430008382267</v>
      </c>
      <c r="L64" s="24">
        <f>MAX(0,MIN(10,(Indicators!I65-PERCENTILE(Indicators!$I:$I,0.05))/(PERCENTILE(Indicators!$I:$I,0.95)-PERCENTILE(Indicators!$I:$I,0.05))*10))</f>
        <v>4.0348136576656994</v>
      </c>
      <c r="M64" s="24">
        <f>MAX(0,MIN(10,(Indicators!J65-PERCENTILE(Indicators!$J:$J,0.05))/(PERCENTILE(Indicators!$J:$J,0.95)-PERCENTILE(Indicators!$J:$J,0.05))*10))</f>
        <v>5.3469185198970255</v>
      </c>
      <c r="N64" s="24">
        <f>MAX(0,MIN(10,(PERCENTILE(Indicators!$K$2:$K$121,0.95)-Table1[[#This Row],[Net FII (cr)]])/(PERCENTILE(Indicators!$K$2:$K$121,0.95)-PERCENTILE(Indicators!$K$2:$K$121,0.05))*10))</f>
        <v>4.4027111208203173</v>
      </c>
    </row>
    <row r="65" spans="5:14" s="22" customFormat="1" x14ac:dyDescent="0.35">
      <c r="E65" s="38">
        <v>43678</v>
      </c>
      <c r="F65" s="24">
        <f>MAX(0,MIN(10,(PERCENTILE(Indicators!$K$2:$K$121,0.95)-Table1[[#This Row],[Net FII (cr)]])/(PERCENTILE(Indicators!$K$2:$K$121,0.95)-PERCENTILE(Indicators!$K$2:$K$121,0.05))*10))</f>
        <v>6.2172567637262031</v>
      </c>
      <c r="G65" s="24">
        <f>MAX(0,MIN(10,(Indicators!C66-PERCENTILE(Indicators!$C:$C,0.05))/(PERCENTILE(Indicators!$C:$C,0.95)-PERCENTILE(Indicators!$C:$C,0.05))*10))</f>
        <v>1.4300145344838695</v>
      </c>
      <c r="H65" s="37">
        <f>MAX(0,MIN(10,(Indicators!D66-PERCENTILE(Indicators!$D:$D,0.05))/(PERCENTILE(Indicators!$D:$D,0.95)-PERCENTILE(Indicators!$D:$D,0.05))*10))</f>
        <v>3.5000000000000009</v>
      </c>
      <c r="I65" s="24">
        <f>MAX(0,MIN(10,(Table1[[#This Row],[INDIA VIX]]-PERCENTILE(Indicators!$E$2:$E$121,0.05))/(PERCENTILE(Indicators!$E$2:$E$121,0.95)-PERCENTILE(Indicators!$E$2:$E$121,0.05))*10))</f>
        <v>1.1322132388174357</v>
      </c>
      <c r="J65" s="24">
        <f>MAX(0,MIN(10,(Indicators!G66-PERCENTILE(Indicators!$G:$G,0.05))/(PERCENTILE(Indicators!$G:$G,0.95)-PERCENTILE(Indicators!$G:$G,0.05))*10))</f>
        <v>4.7640152917762988</v>
      </c>
      <c r="K65" s="24">
        <f>MAX(0,MIN(10,(Indicators!H66-PERCENTILE(Indicators!$H:$H,0.05))/(PERCENTILE(Indicators!$H:$H,0.95)-PERCENTILE(Indicators!$H:$H,0.05))*10))</f>
        <v>5.7921207041072975</v>
      </c>
      <c r="L65" s="24">
        <f>MAX(0,MIN(10,(Indicators!I66-PERCENTILE(Indicators!$I:$I,0.05))/(PERCENTILE(Indicators!$I:$I,0.95)-PERCENTILE(Indicators!$I:$I,0.05))*10))</f>
        <v>10</v>
      </c>
      <c r="M65" s="24">
        <f>MAX(0,MIN(10,(Indicators!J66-PERCENTILE(Indicators!$J:$J,0.05))/(PERCENTILE(Indicators!$J:$J,0.95)-PERCENTILE(Indicators!$J:$J,0.05))*10))</f>
        <v>2.4313761980087474</v>
      </c>
      <c r="N65" s="24">
        <f>MAX(0,MIN(10,(PERCENTILE(Indicators!$K$2:$K$121,0.95)-Table1[[#This Row],[Net FII (cr)]])/(PERCENTILE(Indicators!$K$2:$K$121,0.95)-PERCENTILE(Indicators!$K$2:$K$121,0.05))*10))</f>
        <v>6.2172567637262031</v>
      </c>
    </row>
    <row r="66" spans="5:14" s="22" customFormat="1" x14ac:dyDescent="0.35">
      <c r="E66" s="38">
        <v>43709</v>
      </c>
      <c r="F66" s="24">
        <f>MAX(0,MIN(10,(PERCENTILE(Indicators!$K$2:$K$121,0.95)-Table1[[#This Row],[Net FII (cr)]])/(PERCENTILE(Indicators!$K$2:$K$121,0.95)-PERCENTILE(Indicators!$K$2:$K$121,0.05))*10))</f>
        <v>6.5402130069838726</v>
      </c>
      <c r="G66" s="24">
        <f>MAX(0,MIN(10,(Indicators!C67-PERCENTILE(Indicators!$C:$C,0.05))/(PERCENTILE(Indicators!$C:$C,0.95)-PERCENTILE(Indicators!$C:$C,0.05))*10))</f>
        <v>2.8550686686158304</v>
      </c>
      <c r="H66" s="37">
        <f>MAX(0,MIN(10,(Indicators!D67-PERCENTILE(Indicators!$D:$D,0.05))/(PERCENTILE(Indicators!$D:$D,0.95)-PERCENTILE(Indicators!$D:$D,0.05))*10))</f>
        <v>3.5000000000000009</v>
      </c>
      <c r="I66" s="24">
        <f>MAX(0,MIN(10,(Table1[[#This Row],[INDIA VIX]]-PERCENTILE(Indicators!$E$2:$E$121,0.05))/(PERCENTILE(Indicators!$E$2:$E$121,0.95)-PERCENTILE(Indicators!$E$2:$E$121,0.05))*10))</f>
        <v>2.7705226009111854</v>
      </c>
      <c r="J66" s="24">
        <f>MAX(0,MIN(10,(Indicators!G67-PERCENTILE(Indicators!$G:$G,0.05))/(PERCENTILE(Indicators!$G:$G,0.95)-PERCENTILE(Indicators!$G:$G,0.05))*10))</f>
        <v>3.2245631608837551</v>
      </c>
      <c r="K66" s="24">
        <f>MAX(0,MIN(10,(Indicators!H67-PERCENTILE(Indicators!$H:$H,0.05))/(PERCENTILE(Indicators!$H:$H,0.95)-PERCENTILE(Indicators!$H:$H,0.05))*10))</f>
        <v>5.0377200335289221</v>
      </c>
      <c r="L66" s="24">
        <f>MAX(0,MIN(10,(Indicators!I67-PERCENTILE(Indicators!$I:$I,0.05))/(PERCENTILE(Indicators!$I:$I,0.95)-PERCENTILE(Indicators!$I:$I,0.05))*10))</f>
        <v>1.7585360410622628</v>
      </c>
      <c r="M66" s="24">
        <f>MAX(0,MIN(10,(Indicators!J67-PERCENTILE(Indicators!$J:$J,0.05))/(PERCENTILE(Indicators!$J:$J,0.95)-PERCENTILE(Indicators!$J:$J,0.05))*10))</f>
        <v>5.1980397630346467</v>
      </c>
      <c r="N66" s="24">
        <f>MAX(0,MIN(10,(PERCENTILE(Indicators!$K$2:$K$121,0.95)-Table1[[#This Row],[Net FII (cr)]])/(PERCENTILE(Indicators!$K$2:$K$121,0.95)-PERCENTILE(Indicators!$K$2:$K$121,0.05))*10))</f>
        <v>6.5402130069838726</v>
      </c>
    </row>
    <row r="67" spans="5:14" s="22" customFormat="1" x14ac:dyDescent="0.35">
      <c r="E67" s="38">
        <v>43739</v>
      </c>
      <c r="F67" s="24">
        <f>MAX(0,MIN(10,(PERCENTILE(Indicators!$K$2:$K$121,0.95)-Table1[[#This Row],[Net FII (cr)]])/(PERCENTILE(Indicators!$K$2:$K$121,0.95)-PERCENTILE(Indicators!$K$2:$K$121,0.05))*10))</f>
        <v>5.1379207833828424</v>
      </c>
      <c r="G67" s="24">
        <f>MAX(0,MIN(10,(Indicators!C68-PERCENTILE(Indicators!$C:$C,0.05))/(PERCENTILE(Indicators!$C:$C,0.95)-PERCENTILE(Indicators!$C:$C,0.05))*10))</f>
        <v>4.0965651982052833</v>
      </c>
      <c r="H67" s="37">
        <f>MAX(0,MIN(10,(Indicators!D68-PERCENTILE(Indicators!$D:$D,0.05))/(PERCENTILE(Indicators!$D:$D,0.95)-PERCENTILE(Indicators!$D:$D,0.05))*10))</f>
        <v>2.8749999999999987</v>
      </c>
      <c r="I67" s="24">
        <f>MAX(0,MIN(10,(Table1[[#This Row],[INDIA VIX]]-PERCENTILE(Indicators!$E$2:$E$121,0.05))/(PERCENTILE(Indicators!$E$2:$E$121,0.95)-PERCENTILE(Indicators!$E$2:$E$121,0.05))*10))</f>
        <v>2.5210493090046171</v>
      </c>
      <c r="J67" s="24">
        <f>MAX(0,MIN(10,(Indicators!G68-PERCENTILE(Indicators!$G:$G,0.05))/(PERCENTILE(Indicators!$G:$G,0.95)-PERCENTILE(Indicators!$G:$G,0.05))*10))</f>
        <v>2.8984954511424754</v>
      </c>
      <c r="K67" s="24">
        <f>MAX(0,MIN(10,(Indicators!H68-PERCENTILE(Indicators!$H:$H,0.05))/(PERCENTILE(Indicators!$H:$H,0.95)-PERCENTILE(Indicators!$H:$H,0.05))*10))</f>
        <v>5.8759430008382267</v>
      </c>
      <c r="L67" s="24">
        <f>MAX(0,MIN(10,(Indicators!I68-PERCENTILE(Indicators!$I:$I,0.05))/(PERCENTILE(Indicators!$I:$I,0.95)-PERCENTILE(Indicators!$I:$I,0.05))*10))</f>
        <v>5.3738004909618384</v>
      </c>
      <c r="M67" s="24">
        <f>MAX(0,MIN(10,(Indicators!J68-PERCENTILE(Indicators!$J:$J,0.05))/(PERCENTILE(Indicators!$J:$J,0.95)-PERCENTILE(Indicators!$J:$J,0.05))*10))</f>
        <v>5.3903414906485549</v>
      </c>
      <c r="N67" s="24">
        <f>MAX(0,MIN(10,(PERCENTILE(Indicators!$K$2:$K$121,0.95)-Table1[[#This Row],[Net FII (cr)]])/(PERCENTILE(Indicators!$K$2:$K$121,0.95)-PERCENTILE(Indicators!$K$2:$K$121,0.05))*10))</f>
        <v>5.1379207833828424</v>
      </c>
    </row>
    <row r="68" spans="5:14" s="22" customFormat="1" x14ac:dyDescent="0.35">
      <c r="E68" s="38">
        <v>43770</v>
      </c>
      <c r="F68" s="24">
        <f>MAX(0,MIN(10,(PERCENTILE(Indicators!$K$2:$K$121,0.95)-Table1[[#This Row],[Net FII (cr)]])/(PERCENTILE(Indicators!$K$2:$K$121,0.95)-PERCENTILE(Indicators!$K$2:$K$121,0.05))*10))</f>
        <v>4.0696202674185784</v>
      </c>
      <c r="G68" s="24">
        <f>MAX(0,MIN(10,(Indicators!C69-PERCENTILE(Indicators!$C:$C,0.05))/(PERCENTILE(Indicators!$C:$C,0.95)-PERCENTILE(Indicators!$C:$C,0.05))*10))</f>
        <v>5.9227194918919936</v>
      </c>
      <c r="H68" s="37">
        <f>MAX(0,MIN(10,(Indicators!D69-PERCENTILE(Indicators!$D:$D,0.05))/(PERCENTILE(Indicators!$D:$D,0.95)-PERCENTILE(Indicators!$D:$D,0.05))*10))</f>
        <v>2.8749999999999987</v>
      </c>
      <c r="I68" s="24">
        <f>MAX(0,MIN(10,(Table1[[#This Row],[INDIA VIX]]-PERCENTILE(Indicators!$E$2:$E$121,0.05))/(PERCENTILE(Indicators!$E$2:$E$121,0.95)-PERCENTILE(Indicators!$E$2:$E$121,0.05))*10))</f>
        <v>2.7690014223020003</v>
      </c>
      <c r="J68" s="24">
        <f>MAX(0,MIN(10,(Indicators!G69-PERCENTILE(Indicators!$G:$G,0.05))/(PERCENTILE(Indicators!$G:$G,0.95)-PERCENTILE(Indicators!$G:$G,0.05))*10))</f>
        <v>2.1980123718322488</v>
      </c>
      <c r="K68" s="24">
        <f>MAX(0,MIN(10,(Indicators!H69-PERCENTILE(Indicators!$H:$H,0.05))/(PERCENTILE(Indicators!$H:$H,0.95)-PERCENTILE(Indicators!$H:$H,0.05))*10))</f>
        <v>6.462699077954742</v>
      </c>
      <c r="L68" s="24">
        <f>MAX(0,MIN(10,(Indicators!I69-PERCENTILE(Indicators!$I:$I,0.05))/(PERCENTILE(Indicators!$I:$I,0.95)-PERCENTILE(Indicators!$I:$I,0.05))*10))</f>
        <v>6.7127873242579783</v>
      </c>
      <c r="M68" s="24">
        <f>MAX(0,MIN(10,(Indicators!J69-PERCENTILE(Indicators!$J:$J,0.05))/(PERCENTILE(Indicators!$J:$J,0.95)-PERCENTILE(Indicators!$J:$J,0.05))*10))</f>
        <v>5.6508793151577201</v>
      </c>
      <c r="N68" s="24">
        <f>MAX(0,MIN(10,(PERCENTILE(Indicators!$K$2:$K$121,0.95)-Table1[[#This Row],[Net FII (cr)]])/(PERCENTILE(Indicators!$K$2:$K$121,0.95)-PERCENTILE(Indicators!$K$2:$K$121,0.05))*10))</f>
        <v>4.0696202674185784</v>
      </c>
    </row>
    <row r="69" spans="5:14" s="22" customFormat="1" x14ac:dyDescent="0.35">
      <c r="E69" s="38">
        <v>43800</v>
      </c>
      <c r="F69" s="24">
        <f>MAX(0,MIN(10,(PERCENTILE(Indicators!$K$2:$K$121,0.95)-Table1[[#This Row],[Net FII (cr)]])/(PERCENTILE(Indicators!$K$2:$K$121,0.95)-PERCENTILE(Indicators!$K$2:$K$121,0.05))*10))</f>
        <v>3.2892552863252571</v>
      </c>
      <c r="G69" s="24">
        <f>MAX(0,MIN(10,(Indicators!C70-PERCENTILE(Indicators!$C:$C,0.05))/(PERCENTILE(Indicators!$C:$C,0.95)-PERCENTILE(Indicators!$C:$C,0.05))*10))</f>
        <v>9.5196290340428078</v>
      </c>
      <c r="H69" s="37">
        <f>MAX(0,MIN(10,(Indicators!D70-PERCENTILE(Indicators!$D:$D,0.05))/(PERCENTILE(Indicators!$D:$D,0.95)-PERCENTILE(Indicators!$D:$D,0.05))*10))</f>
        <v>2.8749999999999987</v>
      </c>
      <c r="I69" s="24">
        <f>MAX(0,MIN(10,(Table1[[#This Row],[INDIA VIX]]-PERCENTILE(Indicators!$E$2:$E$121,0.05))/(PERCENTILE(Indicators!$E$2:$E$121,0.95)-PERCENTILE(Indicators!$E$2:$E$121,0.05))*10))</f>
        <v>1.3193182077473631</v>
      </c>
      <c r="J69" s="24">
        <f>MAX(0,MIN(10,(Indicators!G70-PERCENTILE(Indicators!$G:$G,0.05))/(PERCENTILE(Indicators!$G:$G,0.95)-PERCENTILE(Indicators!$G:$G,0.05))*10))</f>
        <v>2.7482818000805564</v>
      </c>
      <c r="K69" s="24">
        <f>MAX(0,MIN(10,(Indicators!H70-PERCENTILE(Indicators!$H:$H,0.05))/(PERCENTILE(Indicators!$H:$H,0.95)-PERCENTILE(Indicators!$H:$H,0.05))*10))</f>
        <v>6.6303436714166022</v>
      </c>
      <c r="L69" s="24">
        <f>MAX(0,MIN(10,(Indicators!I70-PERCENTILE(Indicators!$I:$I,0.05))/(PERCENTILE(Indicators!$I:$I,0.95)-PERCENTILE(Indicators!$I:$I,0.05))*10))</f>
        <v>3.0752064271367994</v>
      </c>
      <c r="M69" s="24">
        <f>MAX(0,MIN(10,(Indicators!J70-PERCENTILE(Indicators!$J:$J,0.05))/(PERCENTILE(Indicators!$J:$J,0.95)-PERCENTILE(Indicators!$J:$J,0.05))*10))</f>
        <v>7.6607425327998522</v>
      </c>
      <c r="N69" s="24">
        <f>MAX(0,MIN(10,(PERCENTILE(Indicators!$K$2:$K$121,0.95)-Table1[[#This Row],[Net FII (cr)]])/(PERCENTILE(Indicators!$K$2:$K$121,0.95)-PERCENTILE(Indicators!$K$2:$K$121,0.05))*10))</f>
        <v>3.2892552863252571</v>
      </c>
    </row>
    <row r="70" spans="5:14" s="22" customFormat="1" x14ac:dyDescent="0.35">
      <c r="E70" s="38">
        <v>43831</v>
      </c>
      <c r="F70" s="24">
        <f>MAX(0,MIN(10,(PERCENTILE(Indicators!$K$2:$K$121,0.95)-Table1[[#This Row],[Net FII (cr)]])/(PERCENTILE(Indicators!$K$2:$K$121,0.95)-PERCENTILE(Indicators!$K$2:$K$121,0.05))*10))</f>
        <v>5.5680786806088864</v>
      </c>
      <c r="G70" s="24">
        <f>MAX(0,MIN(10,(Indicators!C71-PERCENTILE(Indicators!$C:$C,0.05))/(PERCENTILE(Indicators!$C:$C,0.95)-PERCENTILE(Indicators!$C:$C,0.05))*10))</f>
        <v>9.9984544978647563</v>
      </c>
      <c r="H70" s="37">
        <f>MAX(0,MIN(10,(Indicators!D71-PERCENTILE(Indicators!$D:$D,0.05))/(PERCENTILE(Indicators!$D:$D,0.95)-PERCENTILE(Indicators!$D:$D,0.05))*10))</f>
        <v>2.8749999999999987</v>
      </c>
      <c r="I70" s="24">
        <f>MAX(0,MIN(10,(Table1[[#This Row],[INDIA VIX]]-PERCENTILE(Indicators!$E$2:$E$121,0.05))/(PERCENTILE(Indicators!$E$2:$E$121,0.95)-PERCENTILE(Indicators!$E$2:$E$121,0.05))*10))</f>
        <v>0</v>
      </c>
      <c r="J70" s="24">
        <f>MAX(0,MIN(10,(Indicators!G71-PERCENTILE(Indicators!$G:$G,0.05))/(PERCENTILE(Indicators!$G:$G,0.95)-PERCENTILE(Indicators!$G:$G,0.05))*10))</f>
        <v>3.843606732400711</v>
      </c>
      <c r="K70" s="24">
        <f>MAX(0,MIN(10,(Indicators!H71-PERCENTILE(Indicators!$H:$H,0.05))/(PERCENTILE(Indicators!$H:$H,0.95)-PERCENTILE(Indicators!$H:$H,0.05))*10))</f>
        <v>5.0377200335289221</v>
      </c>
      <c r="L70" s="24">
        <f>MAX(0,MIN(10,(Indicators!I71-PERCENTILE(Indicators!$I:$I,0.05))/(PERCENTILE(Indicators!$I:$I,0.95)-PERCENTILE(Indicators!$I:$I,0.05))*10))</f>
        <v>4.9051550993081907</v>
      </c>
      <c r="M70" s="24">
        <f>MAX(0,MIN(10,(Indicators!J71-PERCENTILE(Indicators!$J:$J,0.05))/(PERCENTILE(Indicators!$J:$J,0.95)-PERCENTILE(Indicators!$J:$J,0.05))*10))</f>
        <v>1.0790608231754604</v>
      </c>
      <c r="N70" s="24">
        <f>MAX(0,MIN(10,(PERCENTILE(Indicators!$K$2:$K$121,0.95)-Table1[[#This Row],[Net FII (cr)]])/(PERCENTILE(Indicators!$K$2:$K$121,0.95)-PERCENTILE(Indicators!$K$2:$K$121,0.05))*10))</f>
        <v>5.5680786806088864</v>
      </c>
    </row>
    <row r="71" spans="5:14" s="22" customFormat="1" x14ac:dyDescent="0.35">
      <c r="E71" s="38">
        <v>43862</v>
      </c>
      <c r="F71" s="24">
        <f>MAX(0,MIN(10,(PERCENTILE(Indicators!$K$2:$K$121,0.95)-Table1[[#This Row],[Net FII (cr)]])/(PERCENTILE(Indicators!$K$2:$K$121,0.95)-PERCENTILE(Indicators!$K$2:$K$121,0.05))*10))</f>
        <v>5.7713339173871621</v>
      </c>
      <c r="G71" s="24">
        <f>MAX(0,MIN(10,(Indicators!C72-PERCENTILE(Indicators!$C:$C,0.05))/(PERCENTILE(Indicators!$C:$C,0.95)-PERCENTILE(Indicators!$C:$C,0.05))*10))</f>
        <v>7.9797967182105856</v>
      </c>
      <c r="H71" s="37">
        <f>MAX(0,MIN(10,(Indicators!D72-PERCENTILE(Indicators!$D:$D,0.05))/(PERCENTILE(Indicators!$D:$D,0.95)-PERCENTILE(Indicators!$D:$D,0.05))*10))</f>
        <v>2.8749999999999987</v>
      </c>
      <c r="I71" s="24">
        <f>MAX(0,MIN(10,(Table1[[#This Row],[INDIA VIX]]-PERCENTILE(Indicators!$E$2:$E$121,0.05))/(PERCENTILE(Indicators!$E$2:$E$121,0.95)-PERCENTILE(Indicators!$E$2:$E$121,0.05))*10))</f>
        <v>3.4307141172980824</v>
      </c>
      <c r="J71" s="24">
        <f>MAX(0,MIN(10,(Indicators!G72-PERCENTILE(Indicators!$G:$G,0.05))/(PERCENTILE(Indicators!$G:$G,0.95)-PERCENTILE(Indicators!$G:$G,0.05))*10))</f>
        <v>6.0932125777587576</v>
      </c>
      <c r="K71" s="24">
        <f>MAX(0,MIN(10,(Indicators!H72-PERCENTILE(Indicators!$H:$H,0.05))/(PERCENTILE(Indicators!$H:$H,0.95)-PERCENTILE(Indicators!$H:$H,0.05))*10))</f>
        <v>4.2833193629505493</v>
      </c>
      <c r="L71" s="24">
        <f>MAX(0,MIN(10,(Indicators!I72-PERCENTILE(Indicators!$I:$I,0.05))/(PERCENTILE(Indicators!$I:$I,0.95)-PERCENTILE(Indicators!$I:$I,0.05))*10))</f>
        <v>7.4045971881276511</v>
      </c>
      <c r="M71" s="24">
        <f>MAX(0,MIN(10,(Indicators!J72-PERCENTILE(Indicators!$J:$J,0.05))/(PERCENTILE(Indicators!$J:$J,0.95)-PERCENTILE(Indicators!$J:$J,0.05))*10))</f>
        <v>1.392326540740052</v>
      </c>
      <c r="N71" s="24">
        <f>MAX(0,MIN(10,(PERCENTILE(Indicators!$K$2:$K$121,0.95)-Table1[[#This Row],[Net FII (cr)]])/(PERCENTILE(Indicators!$K$2:$K$121,0.95)-PERCENTILE(Indicators!$K$2:$K$121,0.05))*10))</f>
        <v>5.7713339173871621</v>
      </c>
    </row>
    <row r="72" spans="5:14" s="22" customFormat="1" x14ac:dyDescent="0.35">
      <c r="E72" s="38">
        <v>43891</v>
      </c>
      <c r="F72" s="24">
        <f>MAX(0,MIN(10,(PERCENTILE(Indicators!$K$2:$K$121,0.95)-Table1[[#This Row],[Net FII (cr)]])/(PERCENTILE(Indicators!$K$2:$K$121,0.95)-PERCENTILE(Indicators!$K$2:$K$121,0.05))*10))</f>
        <v>4.8690157942268755</v>
      </c>
      <c r="G72" s="24">
        <f>MAX(0,MIN(10,(Indicators!C73-PERCENTILE(Indicators!$C:$C,0.05))/(PERCENTILE(Indicators!$C:$C,0.95)-PERCENTILE(Indicators!$C:$C,0.05))*10))</f>
        <v>6.5195512071350255</v>
      </c>
      <c r="H72" s="37">
        <f>MAX(0,MIN(10,(Indicators!D73-PERCENTILE(Indicators!$D:$D,0.05))/(PERCENTILE(Indicators!$D:$D,0.95)-PERCENTILE(Indicators!$D:$D,0.05))*10))</f>
        <v>0.99999999999999867</v>
      </c>
      <c r="I72" s="24">
        <f>MAX(0,MIN(10,(Table1[[#This Row],[INDIA VIX]]-PERCENTILE(Indicators!$E$2:$E$121,0.05))/(PERCENTILE(Indicators!$E$2:$E$121,0.95)-PERCENTILE(Indicators!$E$2:$E$121,0.05))*10))</f>
        <v>7.0009203130585584</v>
      </c>
      <c r="J72" s="24">
        <f>MAX(0,MIN(10,(Indicators!G73-PERCENTILE(Indicators!$G:$G,0.05))/(PERCENTILE(Indicators!$G:$G,0.95)-PERCENTILE(Indicators!$G:$G,0.05))*10))</f>
        <v>10</v>
      </c>
      <c r="K72" s="24">
        <f>MAX(0,MIN(10,(Indicators!H73-PERCENTILE(Indicators!$H:$H,0.05))/(PERCENTILE(Indicators!$H:$H,0.95)-PERCENTILE(Indicators!$H:$H,0.05))*10))</f>
        <v>0</v>
      </c>
      <c r="L72" s="24">
        <f>MAX(0,MIN(10,(Indicators!I73-PERCENTILE(Indicators!$I:$I,0.05))/(PERCENTILE(Indicators!$I:$I,0.95)-PERCENTILE(Indicators!$I:$I,0.05))*10))</f>
        <v>10</v>
      </c>
      <c r="M72" s="24">
        <f>MAX(0,MIN(10,(Indicators!J73-PERCENTILE(Indicators!$J:$J,0.05))/(PERCENTILE(Indicators!$J:$J,0.95)-PERCENTILE(Indicators!$J:$J,0.05))*10))</f>
        <v>0</v>
      </c>
      <c r="N72" s="24">
        <f>MAX(0,MIN(10,(PERCENTILE(Indicators!$K$2:$K$121,0.95)-Table1[[#This Row],[Net FII (cr)]])/(PERCENTILE(Indicators!$K$2:$K$121,0.95)-PERCENTILE(Indicators!$K$2:$K$121,0.05))*10))</f>
        <v>4.8690157942268755</v>
      </c>
    </row>
    <row r="73" spans="5:14" s="22" customFormat="1" x14ac:dyDescent="0.35">
      <c r="E73" s="38">
        <v>43922</v>
      </c>
      <c r="F73" s="24">
        <f>MAX(0,MIN(10,(PERCENTILE(Indicators!$K$2:$K$121,0.95)-Table1[[#This Row],[Net FII (cr)]])/(PERCENTILE(Indicators!$K$2:$K$121,0.95)-PERCENTILE(Indicators!$K$2:$K$121,0.05))*10))</f>
        <v>10</v>
      </c>
      <c r="G73" s="24">
        <f>MAX(0,MIN(10,(Indicators!C74-PERCENTILE(Indicators!$C:$C,0.05))/(PERCENTILE(Indicators!$C:$C,0.95)-PERCENTILE(Indicators!$C:$C,0.05))*10))</f>
        <v>9.2653698589840143</v>
      </c>
      <c r="H73" s="37">
        <f>MAX(0,MIN(10,(Indicators!D74-PERCENTILE(Indicators!$D:$D,0.05))/(PERCENTILE(Indicators!$D:$D,0.95)-PERCENTILE(Indicators!$D:$D,0.05))*10))</f>
        <v>0.99999999999999867</v>
      </c>
      <c r="I73" s="24">
        <f>MAX(0,MIN(10,(Table1[[#This Row],[INDIA VIX]]-PERCENTILE(Indicators!$E$2:$E$121,0.05))/(PERCENTILE(Indicators!$E$2:$E$121,0.95)-PERCENTILE(Indicators!$E$2:$E$121,0.05))*10))</f>
        <v>10</v>
      </c>
      <c r="J73" s="24">
        <f>MAX(0,MIN(10,(Indicators!G74-PERCENTILE(Indicators!$G:$G,0.05))/(PERCENTILE(Indicators!$G:$G,0.95)-PERCENTILE(Indicators!$G:$G,0.05))*10))</f>
        <v>10</v>
      </c>
      <c r="K73" s="24">
        <f>MAX(0,MIN(10,(Indicators!H74-PERCENTILE(Indicators!$H:$H,0.05))/(PERCENTILE(Indicators!$H:$H,0.95)-PERCENTILE(Indicators!$H:$H,0.05))*10))</f>
        <v>1.6848281642917033</v>
      </c>
      <c r="L73" s="24">
        <f>MAX(0,MIN(10,(Indicators!I74-PERCENTILE(Indicators!$I:$I,0.05))/(PERCENTILE(Indicators!$I:$I,0.95)-PERCENTILE(Indicators!$I:$I,0.05))*10))</f>
        <v>3.5438518187904484</v>
      </c>
      <c r="M73" s="24">
        <f>MAX(0,MIN(10,(Indicators!J74-PERCENTILE(Indicators!$J:$J,0.05))/(PERCENTILE(Indicators!$J:$J,0.95)-PERCENTILE(Indicators!$J:$J,0.05))*10))</f>
        <v>5.3500201606649922</v>
      </c>
      <c r="N73" s="24">
        <f>MAX(0,MIN(10,(PERCENTILE(Indicators!$K$2:$K$121,0.95)-Table1[[#This Row],[Net FII (cr)]])/(PERCENTILE(Indicators!$K$2:$K$121,0.95)-PERCENTILE(Indicators!$K$2:$K$121,0.05))*10))</f>
        <v>10</v>
      </c>
    </row>
    <row r="74" spans="5:14" s="22" customFormat="1" x14ac:dyDescent="0.35">
      <c r="E74" s="38">
        <v>43952</v>
      </c>
      <c r="F74" s="24">
        <f>MAX(0,MIN(10,(PERCENTILE(Indicators!$K$2:$K$121,0.95)-Table1[[#This Row],[Net FII (cr)]])/(PERCENTILE(Indicators!$K$2:$K$121,0.95)-PERCENTILE(Indicators!$K$2:$K$121,0.05))*10))</f>
        <v>7.5523227400382407</v>
      </c>
      <c r="G74" s="24">
        <f>MAX(0,MIN(10,(Indicators!C75-PERCENTILE(Indicators!$C:$C,0.05))/(PERCENTILE(Indicators!$C:$C,0.95)-PERCENTILE(Indicators!$C:$C,0.05))*10))</f>
        <v>7.3674090769374256</v>
      </c>
      <c r="H74" s="37">
        <f>MAX(0,MIN(10,(Indicators!D75-PERCENTILE(Indicators!$D:$D,0.05))/(PERCENTILE(Indicators!$D:$D,0.95)-PERCENTILE(Indicators!$D:$D,0.05))*10))</f>
        <v>0</v>
      </c>
      <c r="I74" s="24">
        <f>MAX(0,MIN(10,(Table1[[#This Row],[INDIA VIX]]-PERCENTILE(Indicators!$E$2:$E$121,0.05))/(PERCENTILE(Indicators!$E$2:$E$121,0.95)-PERCENTILE(Indicators!$E$2:$E$121,0.05))*10))</f>
        <v>10</v>
      </c>
      <c r="J74" s="24">
        <f>MAX(0,MIN(10,(Indicators!G75-PERCENTILE(Indicators!$G:$G,0.05))/(PERCENTILE(Indicators!$G:$G,0.95)-PERCENTILE(Indicators!$G:$G,0.05))*10))</f>
        <v>10</v>
      </c>
      <c r="K74" s="24">
        <f>MAX(0,MIN(10,(Indicators!H75-PERCENTILE(Indicators!$H:$H,0.05))/(PERCENTILE(Indicators!$H:$H,0.95)-PERCENTILE(Indicators!$H:$H,0.05))*10))</f>
        <v>1.6848281642917033</v>
      </c>
      <c r="L74" s="24">
        <f>MAX(0,MIN(10,(Indicators!I75-PERCENTILE(Indicators!$I:$I,0.05))/(PERCENTILE(Indicators!$I:$I,0.95)-PERCENTILE(Indicators!$I:$I,0.05))*10))</f>
        <v>5.8201294353938859</v>
      </c>
      <c r="M74" s="24">
        <f>MAX(0,MIN(10,(Indicators!J75-PERCENTILE(Indicators!$J:$J,0.05))/(PERCENTILE(Indicators!$J:$J,0.95)-PERCENTILE(Indicators!$J:$J,0.05))*10))</f>
        <v>10</v>
      </c>
      <c r="N74" s="24">
        <f>MAX(0,MIN(10,(PERCENTILE(Indicators!$K$2:$K$121,0.95)-Table1[[#This Row],[Net FII (cr)]])/(PERCENTILE(Indicators!$K$2:$K$121,0.95)-PERCENTILE(Indicators!$K$2:$K$121,0.05))*10))</f>
        <v>7.5523227400382407</v>
      </c>
    </row>
    <row r="75" spans="5:14" s="22" customFormat="1" x14ac:dyDescent="0.35">
      <c r="E75" s="38">
        <v>43983</v>
      </c>
      <c r="F75" s="24">
        <f>MAX(0,MIN(10,(PERCENTILE(Indicators!$K$2:$K$121,0.95)-Table1[[#This Row],[Net FII (cr)]])/(PERCENTILE(Indicators!$K$2:$K$121,0.95)-PERCENTILE(Indicators!$K$2:$K$121,0.05))*10))</f>
        <v>6.7074340743610126</v>
      </c>
      <c r="G75" s="24">
        <f>MAX(0,MIN(10,(Indicators!C76-PERCENTILE(Indicators!$C:$C,0.05))/(PERCENTILE(Indicators!$C:$C,0.95)-PERCENTILE(Indicators!$C:$C,0.05))*10))</f>
        <v>7.2890562269601187</v>
      </c>
      <c r="H75" s="37">
        <f>MAX(0,MIN(10,(Indicators!D76-PERCENTILE(Indicators!$D:$D,0.05))/(PERCENTILE(Indicators!$D:$D,0.95)-PERCENTILE(Indicators!$D:$D,0.05))*10))</f>
        <v>0</v>
      </c>
      <c r="I75" s="24">
        <f>MAX(0,MIN(10,(Table1[[#This Row],[INDIA VIX]]-PERCENTILE(Indicators!$E$2:$E$121,0.05))/(PERCENTILE(Indicators!$E$2:$E$121,0.95)-PERCENTILE(Indicators!$E$2:$E$121,0.05))*10))</f>
        <v>10</v>
      </c>
      <c r="J75" s="24">
        <f>MAX(0,MIN(10,(Indicators!G76-PERCENTILE(Indicators!$G:$G,0.05))/(PERCENTILE(Indicators!$G:$G,0.95)-PERCENTILE(Indicators!$G:$G,0.05))*10))</f>
        <v>10</v>
      </c>
      <c r="K75" s="24">
        <f>MAX(0,MIN(10,(Indicators!H76-PERCENTILE(Indicators!$H:$H,0.05))/(PERCENTILE(Indicators!$H:$H,0.95)-PERCENTILE(Indicators!$H:$H,0.05))*10))</f>
        <v>4.9538977367979928</v>
      </c>
      <c r="L75" s="24">
        <f>MAX(0,MIN(10,(Indicators!I76-PERCENTILE(Indicators!$I:$I,0.05))/(PERCENTILE(Indicators!$I:$I,0.95)-PERCENTILE(Indicators!$I:$I,0.05))*10))</f>
        <v>4.146395893773712</v>
      </c>
      <c r="M75" s="24">
        <f>MAX(0,MIN(10,(Indicators!J76-PERCENTILE(Indicators!$J:$J,0.05))/(PERCENTILE(Indicators!$J:$J,0.95)-PERCENTILE(Indicators!$J:$J,0.05))*10))</f>
        <v>8.0081262988120727</v>
      </c>
      <c r="N75" s="24">
        <f>MAX(0,MIN(10,(PERCENTILE(Indicators!$K$2:$K$121,0.95)-Table1[[#This Row],[Net FII (cr)]])/(PERCENTILE(Indicators!$K$2:$K$121,0.95)-PERCENTILE(Indicators!$K$2:$K$121,0.05))*10))</f>
        <v>6.7074340743610126</v>
      </c>
    </row>
    <row r="76" spans="5:14" s="22" customFormat="1" x14ac:dyDescent="0.35">
      <c r="E76" s="38">
        <v>44013</v>
      </c>
      <c r="F76" s="24">
        <f>MAX(0,MIN(10,(PERCENTILE(Indicators!$K$2:$K$121,0.95)-Table1[[#This Row],[Net FII (cr)]])/(PERCENTILE(Indicators!$K$2:$K$121,0.95)-PERCENTILE(Indicators!$K$2:$K$121,0.05))*10))</f>
        <v>2.9503088803958342</v>
      </c>
      <c r="G76" s="24">
        <f>MAX(0,MIN(10,(Indicators!C77-PERCENTILE(Indicators!$C:$C,0.05))/(PERCENTILE(Indicators!$C:$C,0.95)-PERCENTILE(Indicators!$C:$C,0.05))*10))</f>
        <v>8.2788100693259388</v>
      </c>
      <c r="H76" s="37">
        <f>MAX(0,MIN(10,(Indicators!D77-PERCENTILE(Indicators!$D:$D,0.05))/(PERCENTILE(Indicators!$D:$D,0.95)-PERCENTILE(Indicators!$D:$D,0.05))*10))</f>
        <v>0</v>
      </c>
      <c r="I76" s="24">
        <f>MAX(0,MIN(10,(Table1[[#This Row],[INDIA VIX]]-PERCENTILE(Indicators!$E$2:$E$121,0.05))/(PERCENTILE(Indicators!$E$2:$E$121,0.95)-PERCENTILE(Indicators!$E$2:$E$121,0.05))*10))</f>
        <v>10</v>
      </c>
      <c r="J76" s="24">
        <f>MAX(0,MIN(10,(Indicators!G77-PERCENTILE(Indicators!$G:$G,0.05))/(PERCENTILE(Indicators!$G:$G,0.95)-PERCENTILE(Indicators!$G:$G,0.05))*10))</f>
        <v>10</v>
      </c>
      <c r="K76" s="24">
        <f>MAX(0,MIN(10,(Indicators!H77-PERCENTILE(Indicators!$H:$H,0.05))/(PERCENTILE(Indicators!$H:$H,0.95)-PERCENTILE(Indicators!$H:$H,0.05))*10))</f>
        <v>8.2229673093042805</v>
      </c>
      <c r="L76" s="24">
        <f>MAX(0,MIN(10,(Indicators!I77-PERCENTILE(Indicators!$I:$I,0.05))/(PERCENTILE(Indicators!$I:$I,0.95)-PERCENTILE(Indicators!$I:$I,0.05))*10))</f>
        <v>2.4503459049319347</v>
      </c>
      <c r="M76" s="24">
        <f>MAX(0,MIN(10,(Indicators!J77-PERCENTILE(Indicators!$J:$J,0.05))/(PERCENTILE(Indicators!$J:$J,0.95)-PERCENTILE(Indicators!$J:$J,0.05))*10))</f>
        <v>6.888433981576255</v>
      </c>
      <c r="N76" s="24">
        <f>MAX(0,MIN(10,(PERCENTILE(Indicators!$K$2:$K$121,0.95)-Table1[[#This Row],[Net FII (cr)]])/(PERCENTILE(Indicators!$K$2:$K$121,0.95)-PERCENTILE(Indicators!$K$2:$K$121,0.05))*10))</f>
        <v>2.9503088803958342</v>
      </c>
    </row>
    <row r="77" spans="5:14" s="22" customFormat="1" x14ac:dyDescent="0.35">
      <c r="E77" s="38">
        <v>44044</v>
      </c>
      <c r="F77" s="24">
        <f>MAX(0,MIN(10,(PERCENTILE(Indicators!$K$2:$K$121,0.95)-Table1[[#This Row],[Net FII (cr)]])/(PERCENTILE(Indicators!$K$2:$K$121,0.95)-PERCENTILE(Indicators!$K$2:$K$121,0.05))*10))</f>
        <v>5.5073836265238505</v>
      </c>
      <c r="G77" s="24">
        <f>MAX(0,MIN(10,(Indicators!C78-PERCENTILE(Indicators!$C:$C,0.05))/(PERCENTILE(Indicators!$C:$C,0.95)-PERCENTILE(Indicators!$C:$C,0.05))*10))</f>
        <v>8.2051433526674682</v>
      </c>
      <c r="H77" s="37">
        <f>MAX(0,MIN(10,(Indicators!D78-PERCENTILE(Indicators!$D:$D,0.05))/(PERCENTILE(Indicators!$D:$D,0.95)-PERCENTILE(Indicators!$D:$D,0.05))*10))</f>
        <v>0</v>
      </c>
      <c r="I77" s="24">
        <f>MAX(0,MIN(10,(Table1[[#This Row],[INDIA VIX]]-PERCENTILE(Indicators!$E$2:$E$121,0.05))/(PERCENTILE(Indicators!$E$2:$E$121,0.95)-PERCENTILE(Indicators!$E$2:$E$121,0.05))*10))</f>
        <v>7.5835317203769481</v>
      </c>
      <c r="J77" s="24">
        <f>MAX(0,MIN(10,(Indicators!G78-PERCENTILE(Indicators!$G:$G,0.05))/(PERCENTILE(Indicators!$G:$G,0.95)-PERCENTILE(Indicators!$G:$G,0.05))*10))</f>
        <v>10</v>
      </c>
      <c r="K77" s="24">
        <f>MAX(0,MIN(10,(Indicators!H78-PERCENTILE(Indicators!$H:$H,0.05))/(PERCENTILE(Indicators!$H:$H,0.95)-PERCENTILE(Indicators!$H:$H,0.05))*10))</f>
        <v>9.9832355406538174</v>
      </c>
      <c r="L77" s="24">
        <f>MAX(0,MIN(10,(Indicators!I78-PERCENTILE(Indicators!$I:$I,0.05))/(PERCENTILE(Indicators!$I:$I,0.95)-PERCENTILE(Indicators!$I:$I,0.05))*10))</f>
        <v>0</v>
      </c>
      <c r="M77" s="24">
        <f>MAX(0,MIN(10,(Indicators!J78-PERCENTILE(Indicators!$J:$J,0.05))/(PERCENTILE(Indicators!$J:$J,0.95)-PERCENTILE(Indicators!$J:$J,0.05))*10))</f>
        <v>6.7240470208740435</v>
      </c>
      <c r="N77" s="24">
        <f>MAX(0,MIN(10,(PERCENTILE(Indicators!$K$2:$K$121,0.95)-Table1[[#This Row],[Net FII (cr)]])/(PERCENTILE(Indicators!$K$2:$K$121,0.95)-PERCENTILE(Indicators!$K$2:$K$121,0.05))*10))</f>
        <v>5.5073836265238505</v>
      </c>
    </row>
    <row r="78" spans="5:14" s="22" customFormat="1" x14ac:dyDescent="0.35">
      <c r="E78" s="38">
        <v>44075</v>
      </c>
      <c r="F78" s="24">
        <f>MAX(0,MIN(10,(PERCENTILE(Indicators!$K$2:$K$121,0.95)-Table1[[#This Row],[Net FII (cr)]])/(PERCENTILE(Indicators!$K$2:$K$121,0.95)-PERCENTILE(Indicators!$K$2:$K$121,0.05))*10))</f>
        <v>0.26238505662994838</v>
      </c>
      <c r="G78" s="24">
        <f>MAX(0,MIN(10,(Indicators!C79-PERCENTILE(Indicators!$C:$C,0.05))/(PERCENTILE(Indicators!$C:$C,0.95)-PERCENTILE(Indicators!$C:$C,0.05))*10))</f>
        <v>9.3575438785104801</v>
      </c>
      <c r="H78" s="37">
        <f>MAX(0,MIN(10,(Indicators!D79-PERCENTILE(Indicators!$D:$D,0.05))/(PERCENTILE(Indicators!$D:$D,0.95)-PERCENTILE(Indicators!$D:$D,0.05))*10))</f>
        <v>0</v>
      </c>
      <c r="I78" s="24">
        <f>MAX(0,MIN(10,(Table1[[#This Row],[INDIA VIX]]-PERCENTILE(Indicators!$E$2:$E$121,0.05))/(PERCENTILE(Indicators!$E$2:$E$121,0.95)-PERCENTILE(Indicators!$E$2:$E$121,0.05))*10))</f>
        <v>6.757531735588735</v>
      </c>
      <c r="J78" s="24">
        <f>MAX(0,MIN(10,(Indicators!G79-PERCENTILE(Indicators!$G:$G,0.05))/(PERCENTILE(Indicators!$G:$G,0.95)-PERCENTILE(Indicators!$G:$G,0.05))*10))</f>
        <v>9.9697405049097849</v>
      </c>
      <c r="K78" s="24">
        <f>MAX(0,MIN(10,(Indicators!H79-PERCENTILE(Indicators!$H:$H,0.05))/(PERCENTILE(Indicators!$H:$H,0.95)-PERCENTILE(Indicators!$H:$H,0.05))*10))</f>
        <v>10</v>
      </c>
      <c r="L78" s="24">
        <f>MAX(0,MIN(10,(Indicators!I79-PERCENTILE(Indicators!$I:$I,0.05))/(PERCENTILE(Indicators!$I:$I,0.95)-PERCENTILE(Indicators!$I:$I,0.05))*10))</f>
        <v>5.2399018076322248</v>
      </c>
      <c r="M78" s="24">
        <f>MAX(0,MIN(10,(Indicators!J79-PERCENTILE(Indicators!$J:$J,0.05))/(PERCENTILE(Indicators!$J:$J,0.95)-PERCENTILE(Indicators!$J:$J,0.05))*10))</f>
        <v>2.915232157811483</v>
      </c>
      <c r="N78" s="24">
        <f>MAX(0,MIN(10,(PERCENTILE(Indicators!$K$2:$K$121,0.95)-Table1[[#This Row],[Net FII (cr)]])/(PERCENTILE(Indicators!$K$2:$K$121,0.95)-PERCENTILE(Indicators!$K$2:$K$121,0.05))*10))</f>
        <v>0.26238505662994838</v>
      </c>
    </row>
    <row r="79" spans="5:14" s="22" customFormat="1" x14ac:dyDescent="0.35">
      <c r="E79" s="38">
        <v>44105</v>
      </c>
      <c r="F79" s="24">
        <f>MAX(0,MIN(10,(PERCENTILE(Indicators!$K$2:$K$121,0.95)-Table1[[#This Row],[Net FII (cr)]])/(PERCENTILE(Indicators!$K$2:$K$121,0.95)-PERCENTILE(Indicators!$K$2:$K$121,0.05))*10))</f>
        <v>6.0137763133891706</v>
      </c>
      <c r="G79" s="24">
        <f>MAX(0,MIN(10,(Indicators!C80-PERCENTILE(Indicators!$C:$C,0.05))/(PERCENTILE(Indicators!$C:$C,0.95)-PERCENTILE(Indicators!$C:$C,0.05))*10))</f>
        <v>10</v>
      </c>
      <c r="H79" s="37">
        <f>MAX(0,MIN(10,(Indicators!D80-PERCENTILE(Indicators!$D:$D,0.05))/(PERCENTILE(Indicators!$D:$D,0.95)-PERCENTILE(Indicators!$D:$D,0.05))*10))</f>
        <v>0</v>
      </c>
      <c r="I79" s="24">
        <f>MAX(0,MIN(10,(Table1[[#This Row],[INDIA VIX]]-PERCENTILE(Indicators!$E$2:$E$121,0.05))/(PERCENTILE(Indicators!$E$2:$E$121,0.95)-PERCENTILE(Indicators!$E$2:$E$121,0.05))*10))</f>
        <v>4.746533614244318</v>
      </c>
      <c r="J79" s="24">
        <f>MAX(0,MIN(10,(Indicators!G80-PERCENTILE(Indicators!$G:$G,0.05))/(PERCENTILE(Indicators!$G:$G,0.95)-PERCENTILE(Indicators!$G:$G,0.05))*10))</f>
        <v>9.2425379952692079</v>
      </c>
      <c r="K79" s="24">
        <f>MAX(0,MIN(10,(Indicators!H80-PERCENTILE(Indicators!$H:$H,0.05))/(PERCENTILE(Indicators!$H:$H,0.95)-PERCENTILE(Indicators!$H:$H,0.05))*10))</f>
        <v>9.6479463537300969</v>
      </c>
      <c r="L79" s="24">
        <f>MAX(0,MIN(10,(Indicators!I80-PERCENTILE(Indicators!$I:$I,0.05))/(PERCENTILE(Indicators!$I:$I,0.95)-PERCENTILE(Indicators!$I:$I,0.05))*10))</f>
        <v>7.3153313992412405</v>
      </c>
      <c r="M79" s="24">
        <f>MAX(0,MIN(10,(Indicators!J80-PERCENTILE(Indicators!$J:$J,0.05))/(PERCENTILE(Indicators!$J:$J,0.95)-PERCENTILE(Indicators!$J:$J,0.05))*10))</f>
        <v>2.0002481312614382</v>
      </c>
      <c r="N79" s="24">
        <f>MAX(0,MIN(10,(PERCENTILE(Indicators!$K$2:$K$121,0.95)-Table1[[#This Row],[Net FII (cr)]])/(PERCENTILE(Indicators!$K$2:$K$121,0.95)-PERCENTILE(Indicators!$K$2:$K$121,0.05))*10))</f>
        <v>6.0137763133891706</v>
      </c>
    </row>
    <row r="80" spans="5:14" s="22" customFormat="1" x14ac:dyDescent="0.35">
      <c r="E80" s="38">
        <v>44136</v>
      </c>
      <c r="F80" s="24">
        <f>MAX(0,MIN(10,(PERCENTILE(Indicators!$K$2:$K$121,0.95)-Table1[[#This Row],[Net FII (cr)]])/(PERCENTILE(Indicators!$K$2:$K$121,0.95)-PERCENTILE(Indicators!$K$2:$K$121,0.05))*10))</f>
        <v>3.4213430385362913</v>
      </c>
      <c r="G80" s="24">
        <f>MAX(0,MIN(10,(Indicators!C81-PERCENTILE(Indicators!$C:$C,0.05))/(PERCENTILE(Indicators!$C:$C,0.95)-PERCENTILE(Indicators!$C:$C,0.05))*10))</f>
        <v>8.6849066480940191</v>
      </c>
      <c r="H80" s="37">
        <f>MAX(0,MIN(10,(Indicators!D81-PERCENTILE(Indicators!$D:$D,0.05))/(PERCENTILE(Indicators!$D:$D,0.95)-PERCENTILE(Indicators!$D:$D,0.05))*10))</f>
        <v>0</v>
      </c>
      <c r="I80" s="24">
        <f>MAX(0,MIN(10,(Table1[[#This Row],[INDIA VIX]]-PERCENTILE(Indicators!$E$2:$E$121,0.05))/(PERCENTILE(Indicators!$E$2:$E$121,0.95)-PERCENTILE(Indicators!$E$2:$E$121,0.05))*10))</f>
        <v>7.9242757288347034</v>
      </c>
      <c r="J80" s="24">
        <f>MAX(0,MIN(10,(Indicators!G81-PERCENTILE(Indicators!$G:$G,0.05))/(PERCENTILE(Indicators!$G:$G,0.95)-PERCENTILE(Indicators!$G:$G,0.05))*10))</f>
        <v>5.3063025681221312</v>
      </c>
      <c r="K80" s="24">
        <f>MAX(0,MIN(10,(Indicators!H81-PERCENTILE(Indicators!$H:$H,0.05))/(PERCENTILE(Indicators!$H:$H,0.95)-PERCENTILE(Indicators!$H:$H,0.05))*10))</f>
        <v>10</v>
      </c>
      <c r="L80" s="24">
        <f>MAX(0,MIN(10,(Indicators!I81-PERCENTILE(Indicators!$I:$I,0.05))/(PERCENTILE(Indicators!$I:$I,0.95)-PERCENTILE(Indicators!$I:$I,0.05))*10))</f>
        <v>2.6065610354831517</v>
      </c>
      <c r="M80" s="24">
        <f>MAX(0,MIN(10,(Indicators!J81-PERCENTILE(Indicators!$J:$J,0.05))/(PERCENTILE(Indicators!$J:$J,0.95)-PERCENTILE(Indicators!$J:$J,0.05))*10))</f>
        <v>10</v>
      </c>
      <c r="N80" s="24">
        <f>MAX(0,MIN(10,(PERCENTILE(Indicators!$K$2:$K$121,0.95)-Table1[[#This Row],[Net FII (cr)]])/(PERCENTILE(Indicators!$K$2:$K$121,0.95)-PERCENTILE(Indicators!$K$2:$K$121,0.05))*10))</f>
        <v>3.4213430385362913</v>
      </c>
    </row>
    <row r="81" spans="5:14" s="22" customFormat="1" x14ac:dyDescent="0.35">
      <c r="E81" s="38">
        <v>44166</v>
      </c>
      <c r="F81" s="24">
        <f>MAX(0,MIN(10,(PERCENTILE(Indicators!$K$2:$K$121,0.95)-Table1[[#This Row],[Net FII (cr)]])/(PERCENTILE(Indicators!$K$2:$K$121,0.95)-PERCENTILE(Indicators!$K$2:$K$121,0.05))*10))</f>
        <v>0</v>
      </c>
      <c r="G81" s="24">
        <f>MAX(0,MIN(10,(Indicators!C82-PERCENTILE(Indicators!$C:$C,0.05))/(PERCENTILE(Indicators!$C:$C,0.95)-PERCENTILE(Indicators!$C:$C,0.05))*10))</f>
        <v>4.0330628785119584</v>
      </c>
      <c r="H81" s="37">
        <f>MAX(0,MIN(10,(Indicators!D82-PERCENTILE(Indicators!$D:$D,0.05))/(PERCENTILE(Indicators!$D:$D,0.95)-PERCENTILE(Indicators!$D:$D,0.05))*10))</f>
        <v>0</v>
      </c>
      <c r="I81" s="24">
        <f>MAX(0,MIN(10,(Table1[[#This Row],[INDIA VIX]]-PERCENTILE(Indicators!$E$2:$E$121,0.05))/(PERCENTILE(Indicators!$E$2:$E$121,0.95)-PERCENTILE(Indicators!$E$2:$E$121,0.05))*10))</f>
        <v>4.9214691543007518</v>
      </c>
      <c r="J81" s="24">
        <f>MAX(0,MIN(10,(Indicators!G82-PERCENTILE(Indicators!$G:$G,0.05))/(PERCENTILE(Indicators!$G:$G,0.95)-PERCENTILE(Indicators!$G:$G,0.05))*10))</f>
        <v>4.7734382107479449</v>
      </c>
      <c r="K81" s="24">
        <f>MAX(0,MIN(10,(Indicators!H82-PERCENTILE(Indicators!$H:$H,0.05))/(PERCENTILE(Indicators!$H:$H,0.95)-PERCENTILE(Indicators!$H:$H,0.05))*10))</f>
        <v>10</v>
      </c>
      <c r="L81" s="24">
        <f>MAX(0,MIN(10,(Indicators!I82-PERCENTILE(Indicators!$I:$I,0.05))/(PERCENTILE(Indicators!$I:$I,0.95)-PERCENTILE(Indicators!$I:$I,0.05))*10))</f>
        <v>1.4237893327382278</v>
      </c>
      <c r="M81" s="24">
        <f>MAX(0,MIN(10,(Indicators!J82-PERCENTILE(Indicators!$J:$J,0.05))/(PERCENTILE(Indicators!$J:$J,0.95)-PERCENTILE(Indicators!$J:$J,0.05))*10))</f>
        <v>7.7506901150708725</v>
      </c>
      <c r="N81" s="24">
        <f>MAX(0,MIN(10,(PERCENTILE(Indicators!$K$2:$K$121,0.95)-Table1[[#This Row],[Net FII (cr)]])/(PERCENTILE(Indicators!$K$2:$K$121,0.95)-PERCENTILE(Indicators!$K$2:$K$121,0.05))*10))</f>
        <v>0</v>
      </c>
    </row>
    <row r="82" spans="5:14" s="22" customFormat="1" x14ac:dyDescent="0.35">
      <c r="E82" s="38">
        <v>44197</v>
      </c>
      <c r="F82" s="24">
        <f>MAX(0,MIN(10,(PERCENTILE(Indicators!$K$2:$K$121,0.95)-Table1[[#This Row],[Net FII (cr)]])/(PERCENTILE(Indicators!$K$2:$K$121,0.95)-PERCENTILE(Indicators!$K$2:$K$121,0.05))*10))</f>
        <v>0</v>
      </c>
      <c r="G82" s="24">
        <f>MAX(0,MIN(10,(Indicators!C83-PERCENTILE(Indicators!$C:$C,0.05))/(PERCENTILE(Indicators!$C:$C,0.95)-PERCENTILE(Indicators!$C:$C,0.05))*10))</f>
        <v>2.9879744953827498</v>
      </c>
      <c r="H82" s="37">
        <f>MAX(0,MIN(10,(Indicators!D83-PERCENTILE(Indicators!$D:$D,0.05))/(PERCENTILE(Indicators!$D:$D,0.95)-PERCENTILE(Indicators!$D:$D,0.05))*10))</f>
        <v>0</v>
      </c>
      <c r="I82" s="24">
        <f>MAX(0,MIN(10,(Table1[[#This Row],[INDIA VIX]]-PERCENTILE(Indicators!$E$2:$E$121,0.05))/(PERCENTILE(Indicators!$E$2:$E$121,0.95)-PERCENTILE(Indicators!$E$2:$E$121,0.05))*10))</f>
        <v>5.6987914235950008</v>
      </c>
      <c r="J82" s="24">
        <f>MAX(0,MIN(10,(Indicators!G83-PERCENTILE(Indicators!$G:$G,0.05))/(PERCENTILE(Indicators!$G:$G,0.95)-PERCENTILE(Indicators!$G:$G,0.05))*10))</f>
        <v>4.7468697219942495</v>
      </c>
      <c r="K82" s="24">
        <f>MAX(0,MIN(10,(Indicators!H83-PERCENTILE(Indicators!$H:$H,0.05))/(PERCENTILE(Indicators!$H:$H,0.95)-PERCENTILE(Indicators!$H:$H,0.05))*10))</f>
        <v>10</v>
      </c>
      <c r="L82" s="24">
        <f>MAX(0,MIN(10,(Indicators!I83-PERCENTILE(Indicators!$I:$I,0.05))/(PERCENTILE(Indicators!$I:$I,0.95)-PERCENTILE(Indicators!$I:$I,0.05))*10))</f>
        <v>3.8116491854496766</v>
      </c>
      <c r="M82" s="24">
        <f>MAX(0,MIN(10,(Indicators!J83-PERCENTILE(Indicators!$J:$J,0.05))/(PERCENTILE(Indicators!$J:$J,0.95)-PERCENTILE(Indicators!$J:$J,0.05))*10))</f>
        <v>7.1241586799416901</v>
      </c>
      <c r="N82" s="24">
        <f>MAX(0,MIN(10,(PERCENTILE(Indicators!$K$2:$K$121,0.95)-Table1[[#This Row],[Net FII (cr)]])/(PERCENTILE(Indicators!$K$2:$K$121,0.95)-PERCENTILE(Indicators!$K$2:$K$121,0.05))*10))</f>
        <v>0</v>
      </c>
    </row>
    <row r="83" spans="5:14" s="22" customFormat="1" x14ac:dyDescent="0.35">
      <c r="E83" s="38">
        <v>44228</v>
      </c>
      <c r="F83" s="24">
        <f>MAX(0,MIN(10,(PERCENTILE(Indicators!$K$2:$K$121,0.95)-Table1[[#This Row],[Net FII (cr)]])/(PERCENTILE(Indicators!$K$2:$K$121,0.95)-PERCENTILE(Indicators!$K$2:$K$121,0.05))*10))</f>
        <v>4.2315488161649277</v>
      </c>
      <c r="G83" s="24">
        <f>MAX(0,MIN(10,(Indicators!C84-PERCENTILE(Indicators!$C:$C,0.05))/(PERCENTILE(Indicators!$C:$C,0.95)-PERCENTILE(Indicators!$C:$C,0.05))*10))</f>
        <v>4.911221207852142</v>
      </c>
      <c r="H83" s="37">
        <f>MAX(0,MIN(10,(Indicators!D84-PERCENTILE(Indicators!$D:$D,0.05))/(PERCENTILE(Indicators!$D:$D,0.95)-PERCENTILE(Indicators!$D:$D,0.05))*10))</f>
        <v>0</v>
      </c>
      <c r="I83" s="24">
        <f>MAX(0,MIN(10,(Table1[[#This Row],[INDIA VIX]]-PERCENTILE(Indicators!$E$2:$E$121,0.05))/(PERCENTILE(Indicators!$E$2:$E$121,0.95)-PERCENTILE(Indicators!$E$2:$E$121,0.05))*10))</f>
        <v>8.2832738806026924</v>
      </c>
      <c r="J83" s="24">
        <f>MAX(0,MIN(10,(Indicators!G84-PERCENTILE(Indicators!$G:$G,0.05))/(PERCENTILE(Indicators!$G:$G,0.95)-PERCENTILE(Indicators!$G:$G,0.05))*10))</f>
        <v>2.4671940770423482</v>
      </c>
      <c r="K83" s="24">
        <f>MAX(0,MIN(10,(Indicators!H84-PERCENTILE(Indicators!$H:$H,0.05))/(PERCENTILE(Indicators!$H:$H,0.95)-PERCENTILE(Indicators!$H:$H,0.05))*10))</f>
        <v>10</v>
      </c>
      <c r="L83" s="24">
        <f>MAX(0,MIN(10,(Indicators!I84-PERCENTILE(Indicators!$I:$I,0.05))/(PERCENTILE(Indicators!$I:$I,0.95)-PERCENTILE(Indicators!$I:$I,0.05))*10))</f>
        <v>7.4938629770140599</v>
      </c>
      <c r="M83" s="24">
        <f>MAX(0,MIN(10,(Indicators!J84-PERCENTILE(Indicators!$J:$J,0.05))/(PERCENTILE(Indicators!$J:$J,0.95)-PERCENTILE(Indicators!$J:$J,0.05))*10))</f>
        <v>10</v>
      </c>
      <c r="N83" s="24">
        <f>MAX(0,MIN(10,(PERCENTILE(Indicators!$K$2:$K$121,0.95)-Table1[[#This Row],[Net FII (cr)]])/(PERCENTILE(Indicators!$K$2:$K$121,0.95)-PERCENTILE(Indicators!$K$2:$K$121,0.05))*10))</f>
        <v>4.2315488161649277</v>
      </c>
    </row>
    <row r="84" spans="5:14" s="22" customFormat="1" x14ac:dyDescent="0.35">
      <c r="E84" s="38">
        <v>44256</v>
      </c>
      <c r="F84" s="24">
        <f>MAX(0,MIN(10,(PERCENTILE(Indicators!$K$2:$K$121,0.95)-Table1[[#This Row],[Net FII (cr)]])/(PERCENTILE(Indicators!$K$2:$K$121,0.95)-PERCENTILE(Indicators!$K$2:$K$121,0.05))*10))</f>
        <v>3.1750720120354119</v>
      </c>
      <c r="G84" s="24">
        <f>MAX(0,MIN(10,(Indicators!C85-PERCENTILE(Indicators!$C:$C,0.05))/(PERCENTILE(Indicators!$C:$C,0.95)-PERCENTILE(Indicators!$C:$C,0.05))*10))</f>
        <v>5.879838993382517</v>
      </c>
      <c r="H84" s="37">
        <f>MAX(0,MIN(10,(Indicators!D85-PERCENTILE(Indicators!$D:$D,0.05))/(PERCENTILE(Indicators!$D:$D,0.95)-PERCENTILE(Indicators!$D:$D,0.05))*10))</f>
        <v>0</v>
      </c>
      <c r="I84" s="24">
        <f>MAX(0,MIN(10,(Table1[[#This Row],[INDIA VIX]]-PERCENTILE(Indicators!$E$2:$E$121,0.05))/(PERCENTILE(Indicators!$E$2:$E$121,0.95)-PERCENTILE(Indicators!$E$2:$E$121,0.05))*10))</f>
        <v>9.9869939228914575</v>
      </c>
      <c r="J84" s="24">
        <f>MAX(0,MIN(10,(Indicators!G85-PERCENTILE(Indicators!$G:$G,0.05))/(PERCENTILE(Indicators!$G:$G,0.95)-PERCENTILE(Indicators!$G:$G,0.05))*10))</f>
        <v>1.9315090125742169</v>
      </c>
      <c r="K84" s="24">
        <f>MAX(0,MIN(10,(Indicators!H85-PERCENTILE(Indicators!$H:$H,0.05))/(PERCENTILE(Indicators!$H:$H,0.95)-PERCENTILE(Indicators!$H:$H,0.05))*10))</f>
        <v>10</v>
      </c>
      <c r="L84" s="24">
        <f>MAX(0,MIN(10,(Indicators!I85-PERCENTILE(Indicators!$I:$I,0.05))/(PERCENTILE(Indicators!$I:$I,0.95)-PERCENTILE(Indicators!$I:$I,0.05))*10))</f>
        <v>1.9370676188350813</v>
      </c>
      <c r="M84" s="24">
        <f>MAX(0,MIN(10,(Indicators!J85-PERCENTILE(Indicators!$J:$J,0.05))/(PERCENTILE(Indicators!$J:$J,0.95)-PERCENTILE(Indicators!$J:$J,0.05))*10))</f>
        <v>4.3885115225954534</v>
      </c>
      <c r="N84" s="24">
        <f>MAX(0,MIN(10,(PERCENTILE(Indicators!$K$2:$K$121,0.95)-Table1[[#This Row],[Net FII (cr)]])/(PERCENTILE(Indicators!$K$2:$K$121,0.95)-PERCENTILE(Indicators!$K$2:$K$121,0.05))*10))</f>
        <v>3.1750720120354119</v>
      </c>
    </row>
    <row r="85" spans="5:14" s="22" customFormat="1" x14ac:dyDescent="0.35">
      <c r="E85" s="38">
        <v>44287</v>
      </c>
      <c r="F85" s="24">
        <f>MAX(0,MIN(10,(PERCENTILE(Indicators!$K$2:$K$121,0.95)-Table1[[#This Row],[Net FII (cr)]])/(PERCENTILE(Indicators!$K$2:$K$121,0.95)-PERCENTILE(Indicators!$K$2:$K$121,0.05))*10))</f>
        <v>3.9621933998914467</v>
      </c>
      <c r="G85" s="24">
        <f>MAX(0,MIN(10,(Indicators!C86-PERCENTILE(Indicators!$C:$C,0.05))/(PERCENTILE(Indicators!$C:$C,0.95)-PERCENTILE(Indicators!$C:$C,0.05))*10))</f>
        <v>3.3173937218394074</v>
      </c>
      <c r="H85" s="37">
        <f>MAX(0,MIN(10,(Indicators!D86-PERCENTILE(Indicators!$D:$D,0.05))/(PERCENTILE(Indicators!$D:$D,0.95)-PERCENTILE(Indicators!$D:$D,0.05))*10))</f>
        <v>0</v>
      </c>
      <c r="I85" s="24">
        <f>MAX(0,MIN(10,(Table1[[#This Row],[INDIA VIX]]-PERCENTILE(Indicators!$E$2:$E$121,0.05))/(PERCENTILE(Indicators!$E$2:$E$121,0.95)-PERCENTILE(Indicators!$E$2:$E$121,0.05))*10))</f>
        <v>5.4249792739414504</v>
      </c>
      <c r="J85" s="24">
        <f>MAX(0,MIN(10,(Indicators!G86-PERCENTILE(Indicators!$G:$G,0.05))/(PERCENTILE(Indicators!$G:$G,0.95)-PERCENTILE(Indicators!$G:$G,0.05))*10))</f>
        <v>2.7826001081170531</v>
      </c>
      <c r="K85" s="24">
        <f>MAX(0,MIN(10,(Indicators!H86-PERCENTILE(Indicators!$H:$H,0.05))/(PERCENTILE(Indicators!$H:$H,0.95)-PERCENTILE(Indicators!$H:$H,0.05))*10))</f>
        <v>9.8994132439228917</v>
      </c>
      <c r="L85" s="24">
        <f>MAX(0,MIN(10,(Indicators!I86-PERCENTILE(Indicators!$I:$I,0.05))/(PERCENTILE(Indicators!$I:$I,0.95)-PERCENTILE(Indicators!$I:$I,0.05))*10))</f>
        <v>7.0921669270252181</v>
      </c>
      <c r="M85" s="24">
        <f>MAX(0,MIN(10,(Indicators!J86-PERCENTILE(Indicators!$J:$J,0.05))/(PERCENTILE(Indicators!$J:$J,0.95)-PERCENTILE(Indicators!$J:$J,0.05))*10))</f>
        <v>7.1861914953010153</v>
      </c>
      <c r="N85" s="24">
        <f>MAX(0,MIN(10,(PERCENTILE(Indicators!$K$2:$K$121,0.95)-Table1[[#This Row],[Net FII (cr)]])/(PERCENTILE(Indicators!$K$2:$K$121,0.95)-PERCENTILE(Indicators!$K$2:$K$121,0.05))*10))</f>
        <v>3.9621933998914467</v>
      </c>
    </row>
    <row r="86" spans="5:14" s="22" customFormat="1" x14ac:dyDescent="0.35">
      <c r="E86" s="38">
        <v>44317</v>
      </c>
      <c r="F86" s="24">
        <f>MAX(0,MIN(10,(PERCENTILE(Indicators!$K$2:$K$121,0.95)-Table1[[#This Row],[Net FII (cr)]])/(PERCENTILE(Indicators!$K$2:$K$121,0.95)-PERCENTILE(Indicators!$K$2:$K$121,0.05))*10))</f>
        <v>6.8740921078412596</v>
      </c>
      <c r="G86" s="24">
        <f>MAX(0,MIN(10,(Indicators!C87-PERCENTILE(Indicators!$C:$C,0.05))/(PERCENTILE(Indicators!$C:$C,0.95)-PERCENTILE(Indicators!$C:$C,0.05))*10))</f>
        <v>7.4228961853712292</v>
      </c>
      <c r="H86" s="37">
        <f>MAX(0,MIN(10,(Indicators!D87-PERCENTILE(Indicators!$D:$D,0.05))/(PERCENTILE(Indicators!$D:$D,0.95)-PERCENTILE(Indicators!$D:$D,0.05))*10))</f>
        <v>0</v>
      </c>
      <c r="I86" s="24">
        <f>MAX(0,MIN(10,(Table1[[#This Row],[INDIA VIX]]-PERCENTILE(Indicators!$E$2:$E$121,0.05))/(PERCENTILE(Indicators!$E$2:$E$121,0.95)-PERCENTILE(Indicators!$E$2:$E$121,0.05))*10))</f>
        <v>6.874662488496087</v>
      </c>
      <c r="J86" s="24">
        <f>MAX(0,MIN(10,(Indicators!G87-PERCENTILE(Indicators!$G:$G,0.05))/(PERCENTILE(Indicators!$G:$G,0.95)-PERCENTILE(Indicators!$G:$G,0.05))*10))</f>
        <v>2.6085494444080872</v>
      </c>
      <c r="K86" s="24">
        <f>MAX(0,MIN(10,(Indicators!H87-PERCENTILE(Indicators!$H:$H,0.05))/(PERCENTILE(Indicators!$H:$H,0.95)-PERCENTILE(Indicators!$H:$H,0.05))*10))</f>
        <v>7.3847443419949759</v>
      </c>
      <c r="L86" s="24">
        <f>MAX(0,MIN(10,(Indicators!I87-PERCENTILE(Indicators!$I:$I,0.05))/(PERCENTILE(Indicators!$I:$I,0.95)-PERCENTILE(Indicators!$I:$I,0.05))*10))</f>
        <v>0</v>
      </c>
      <c r="M86" s="24">
        <f>MAX(0,MIN(10,(Indicators!J87-PERCENTILE(Indicators!$J:$J,0.05))/(PERCENTILE(Indicators!$J:$J,0.95)-PERCENTILE(Indicators!$J:$J,0.05))*10))</f>
        <v>6.2153779349275773</v>
      </c>
      <c r="N86" s="24">
        <f>MAX(0,MIN(10,(PERCENTILE(Indicators!$K$2:$K$121,0.95)-Table1[[#This Row],[Net FII (cr)]])/(PERCENTILE(Indicators!$K$2:$K$121,0.95)-PERCENTILE(Indicators!$K$2:$K$121,0.05))*10))</f>
        <v>6.8740921078412596</v>
      </c>
    </row>
    <row r="87" spans="5:14" s="22" customFormat="1" x14ac:dyDescent="0.35">
      <c r="E87" s="38">
        <v>44348</v>
      </c>
      <c r="F87" s="24">
        <f>MAX(0,MIN(10,(PERCENTILE(Indicators!$K$2:$K$121,0.95)-Table1[[#This Row],[Net FII (cr)]])/(PERCENTILE(Indicators!$K$2:$K$121,0.95)-PERCENTILE(Indicators!$K$2:$K$121,0.05))*10))</f>
        <v>6.0995826792756223</v>
      </c>
      <c r="G87" s="24">
        <f>MAX(0,MIN(10,(Indicators!C88-PERCENTILE(Indicators!$C:$C,0.05))/(PERCENTILE(Indicators!$C:$C,0.95)-PERCENTILE(Indicators!$C:$C,0.05))*10))</f>
        <v>7.3488081704875157</v>
      </c>
      <c r="H87" s="37">
        <f>MAX(0,MIN(10,(Indicators!D88-PERCENTILE(Indicators!$D:$D,0.05))/(PERCENTILE(Indicators!$D:$D,0.95)-PERCENTILE(Indicators!$D:$D,0.05))*10))</f>
        <v>0</v>
      </c>
      <c r="I87" s="24">
        <f>MAX(0,MIN(10,(Table1[[#This Row],[INDIA VIX]]-PERCENTILE(Indicators!$E$2:$E$121,0.05))/(PERCENTILE(Indicators!$E$2:$E$121,0.95)-PERCENTILE(Indicators!$E$2:$E$121,0.05))*10))</f>
        <v>3.1371266457251092</v>
      </c>
      <c r="J87" s="24">
        <f>MAX(0,MIN(10,(Indicators!G88-PERCENTILE(Indicators!$G:$G,0.05))/(PERCENTILE(Indicators!$G:$G,0.95)-PERCENTILE(Indicators!$G:$G,0.05))*10))</f>
        <v>1.5974411519812675</v>
      </c>
      <c r="K87" s="24">
        <f>MAX(0,MIN(10,(Indicators!H88-PERCENTILE(Indicators!$H:$H,0.05))/(PERCENTILE(Indicators!$H:$H,0.95)-PERCENTILE(Indicators!$H:$H,0.05))*10))</f>
        <v>6.6303436714166022</v>
      </c>
      <c r="L87" s="24">
        <f>MAX(0,MIN(10,(Indicators!I88-PERCENTILE(Indicators!$I:$I,0.05))/(PERCENTILE(Indicators!$I:$I,0.95)-PERCENTILE(Indicators!$I:$I,0.05))*10))</f>
        <v>9.9933050658335194</v>
      </c>
      <c r="M87" s="24">
        <f>MAX(0,MIN(10,(Indicators!J88-PERCENTILE(Indicators!$J:$J,0.05))/(PERCENTILE(Indicators!$J:$J,0.95)-PERCENTILE(Indicators!$J:$J,0.05))*10))</f>
        <v>7.7475884743029075</v>
      </c>
      <c r="N87" s="24">
        <f>MAX(0,MIN(10,(PERCENTILE(Indicators!$K$2:$K$121,0.95)-Table1[[#This Row],[Net FII (cr)]])/(PERCENTILE(Indicators!$K$2:$K$121,0.95)-PERCENTILE(Indicators!$K$2:$K$121,0.05))*10))</f>
        <v>6.0995826792756223</v>
      </c>
    </row>
    <row r="88" spans="5:14" s="22" customFormat="1" x14ac:dyDescent="0.35">
      <c r="E88" s="38">
        <v>44378</v>
      </c>
      <c r="F88" s="24">
        <f>MAX(0,MIN(10,(PERCENTILE(Indicators!$K$2:$K$121,0.95)-Table1[[#This Row],[Net FII (cr)]])/(PERCENTILE(Indicators!$K$2:$K$121,0.95)-PERCENTILE(Indicators!$K$2:$K$121,0.05))*10))</f>
        <v>4.4181382495951782</v>
      </c>
      <c r="G88" s="24">
        <f>MAX(0,MIN(10,(Indicators!C89-PERCENTILE(Indicators!$C:$C,0.05))/(PERCENTILE(Indicators!$C:$C,0.95)-PERCENTILE(Indicators!$C:$C,0.05))*10))</f>
        <v>6.0185344391645037</v>
      </c>
      <c r="H88" s="37">
        <f>MAX(0,MIN(10,(Indicators!D89-PERCENTILE(Indicators!$D:$D,0.05))/(PERCENTILE(Indicators!$D:$D,0.95)-PERCENTILE(Indicators!$D:$D,0.05))*10))</f>
        <v>0</v>
      </c>
      <c r="I88" s="24">
        <f>MAX(0,MIN(10,(Table1[[#This Row],[INDIA VIX]]-PERCENTILE(Indicators!$E$2:$E$121,0.05))/(PERCENTILE(Indicators!$E$2:$E$121,0.95)-PERCENTILE(Indicators!$E$2:$E$121,0.05))*10))</f>
        <v>0.80059630201480092</v>
      </c>
      <c r="J88" s="24">
        <f>MAX(0,MIN(10,(Indicators!G89-PERCENTILE(Indicators!$G:$G,0.05))/(PERCENTILE(Indicators!$G:$G,0.95)-PERCENTILE(Indicators!$G:$G,0.05))*10))</f>
        <v>1.964868954192176</v>
      </c>
      <c r="K88" s="24">
        <f>MAX(0,MIN(10,(Indicators!H89-PERCENTILE(Indicators!$H:$H,0.05))/(PERCENTILE(Indicators!$H:$H,0.95)-PERCENTILE(Indicators!$H:$H,0.05))*10))</f>
        <v>5.5406538139145054</v>
      </c>
      <c r="L88" s="24">
        <f>MAX(0,MIN(10,(Indicators!I89-PERCENTILE(Indicators!$I:$I,0.05))/(PERCENTILE(Indicators!$I:$I,0.95)-PERCENTILE(Indicators!$I:$I,0.05))*10))</f>
        <v>4.2356616826601199</v>
      </c>
      <c r="M88" s="24">
        <f>MAX(0,MIN(10,(Indicators!J89-PERCENTILE(Indicators!$J:$J,0.05))/(PERCENTILE(Indicators!$J:$J,0.95)-PERCENTILE(Indicators!$J:$J,0.05))*10))</f>
        <v>5.5268136844390696</v>
      </c>
      <c r="N88" s="24">
        <f>MAX(0,MIN(10,(PERCENTILE(Indicators!$K$2:$K$121,0.95)-Table1[[#This Row],[Net FII (cr)]])/(PERCENTILE(Indicators!$K$2:$K$121,0.95)-PERCENTILE(Indicators!$K$2:$K$121,0.05))*10))</f>
        <v>4.4181382495951782</v>
      </c>
    </row>
    <row r="89" spans="5:14" s="22" customFormat="1" x14ac:dyDescent="0.35">
      <c r="E89" s="38">
        <v>44409</v>
      </c>
      <c r="F89" s="24">
        <f>MAX(0,MIN(10,(PERCENTILE(Indicators!$K$2:$K$121,0.95)-Table1[[#This Row],[Net FII (cr)]])/(PERCENTILE(Indicators!$K$2:$K$121,0.95)-PERCENTILE(Indicators!$K$2:$K$121,0.05))*10))</f>
        <v>6.7135148404474538</v>
      </c>
      <c r="G89" s="24">
        <f>MAX(0,MIN(10,(Indicators!C90-PERCENTILE(Indicators!$C:$C,0.05))/(PERCENTILE(Indicators!$C:$C,0.95)-PERCENTILE(Indicators!$C:$C,0.05))*10))</f>
        <v>5.4479447461800357</v>
      </c>
      <c r="H89" s="37">
        <f>MAX(0,MIN(10,(Indicators!D90-PERCENTILE(Indicators!$D:$D,0.05))/(PERCENTILE(Indicators!$D:$D,0.95)-PERCENTILE(Indicators!$D:$D,0.05))*10))</f>
        <v>0</v>
      </c>
      <c r="I89" s="24">
        <f>MAX(0,MIN(10,(Table1[[#This Row],[INDIA VIX]]-PERCENTILE(Indicators!$E$2:$E$121,0.05))/(PERCENTILE(Indicators!$E$2:$E$121,0.95)-PERCENTILE(Indicators!$E$2:$E$121,0.05))*10))</f>
        <v>0.65304197692372057</v>
      </c>
      <c r="J89" s="24">
        <f>MAX(0,MIN(10,(Indicators!G90-PERCENTILE(Indicators!$G:$G,0.05))/(PERCENTILE(Indicators!$G:$G,0.95)-PERCENTILE(Indicators!$G:$G,0.05))*10))</f>
        <v>0.24369862844356383</v>
      </c>
      <c r="K89" s="24">
        <f>MAX(0,MIN(10,(Indicators!H90-PERCENTILE(Indicators!$H:$H,0.05))/(PERCENTILE(Indicators!$H:$H,0.95)-PERCENTILE(Indicators!$H:$H,0.05))*10))</f>
        <v>4.9538977367979928</v>
      </c>
      <c r="L89" s="24">
        <f>MAX(0,MIN(10,(Indicators!I90-PERCENTILE(Indicators!$I:$I,0.05))/(PERCENTILE(Indicators!$I:$I,0.95)-PERCENTILE(Indicators!$I:$I,0.05))*10))</f>
        <v>0.12943539388529285</v>
      </c>
      <c r="M89" s="24">
        <f>MAX(0,MIN(10,(Indicators!J90-PERCENTILE(Indicators!$J:$J,0.05))/(PERCENTILE(Indicators!$J:$J,0.95)-PERCENTILE(Indicators!$J:$J,0.05))*10))</f>
        <v>3.6441177382835526</v>
      </c>
      <c r="N89" s="24">
        <f>MAX(0,MIN(10,(PERCENTILE(Indicators!$K$2:$K$121,0.95)-Table1[[#This Row],[Net FII (cr)]])/(PERCENTILE(Indicators!$K$2:$K$121,0.95)-PERCENTILE(Indicators!$K$2:$K$121,0.05))*10))</f>
        <v>6.7135148404474538</v>
      </c>
    </row>
    <row r="90" spans="5:14" s="22" customFormat="1" x14ac:dyDescent="0.35">
      <c r="E90" s="38">
        <v>44440</v>
      </c>
      <c r="F90" s="24">
        <f>MAX(0,MIN(10,(PERCENTILE(Indicators!$K$2:$K$121,0.95)-Table1[[#This Row],[Net FII (cr)]])/(PERCENTILE(Indicators!$K$2:$K$121,0.95)-PERCENTILE(Indicators!$K$2:$K$121,0.05))*10))</f>
        <v>4.0147807658612269</v>
      </c>
      <c r="G90" s="24">
        <f>MAX(0,MIN(10,(Indicators!C91-PERCENTILE(Indicators!$C:$C,0.05))/(PERCENTILE(Indicators!$C:$C,0.95)-PERCENTILE(Indicators!$C:$C,0.05))*10))</f>
        <v>3.5568015981762513</v>
      </c>
      <c r="H90" s="37">
        <f>MAX(0,MIN(10,(Indicators!D91-PERCENTILE(Indicators!$D:$D,0.05))/(PERCENTILE(Indicators!$D:$D,0.95)-PERCENTILE(Indicators!$D:$D,0.05))*10))</f>
        <v>0</v>
      </c>
      <c r="I90" s="24">
        <f>MAX(0,MIN(10,(Table1[[#This Row],[INDIA VIX]]-PERCENTILE(Indicators!$E$2:$E$121,0.05))/(PERCENTILE(Indicators!$E$2:$E$121,0.95)-PERCENTILE(Indicators!$E$2:$E$121,0.05))*10))</f>
        <v>1.6980916814347755</v>
      </c>
      <c r="J90" s="24">
        <f>MAX(0,MIN(10,(Indicators!G91-PERCENTILE(Indicators!$G:$G,0.05))/(PERCENTILE(Indicators!$G:$G,0.95)-PERCENTILE(Indicators!$G:$G,0.05))*10))</f>
        <v>0</v>
      </c>
      <c r="K90" s="24">
        <f>MAX(0,MIN(10,(Indicators!H91-PERCENTILE(Indicators!$H:$H,0.05))/(PERCENTILE(Indicators!$H:$H,0.95)-PERCENTILE(Indicators!$H:$H,0.05))*10))</f>
        <v>5.5406538139145054</v>
      </c>
      <c r="L90" s="24">
        <f>MAX(0,MIN(10,(Indicators!I91-PERCENTILE(Indicators!$I:$I,0.05))/(PERCENTILE(Indicators!$I:$I,0.95)-PERCENTILE(Indicators!$I:$I,0.05))*10))</f>
        <v>8.0294577103325153</v>
      </c>
      <c r="M90" s="24">
        <f>MAX(0,MIN(10,(Indicators!J91-PERCENTILE(Indicators!$J:$J,0.05))/(PERCENTILE(Indicators!$J:$J,0.95)-PERCENTILE(Indicators!$J:$J,0.05))*10))</f>
        <v>8.0918705995471623</v>
      </c>
      <c r="N90" s="24">
        <f>MAX(0,MIN(10,(PERCENTILE(Indicators!$K$2:$K$121,0.95)-Table1[[#This Row],[Net FII (cr)]])/(PERCENTILE(Indicators!$K$2:$K$121,0.95)-PERCENTILE(Indicators!$K$2:$K$121,0.05))*10))</f>
        <v>4.0147807658612269</v>
      </c>
    </row>
    <row r="91" spans="5:14" s="22" customFormat="1" x14ac:dyDescent="0.35">
      <c r="E91" s="38">
        <v>44470</v>
      </c>
      <c r="F91" s="24">
        <f>MAX(0,MIN(10,(PERCENTILE(Indicators!$K$2:$K$121,0.95)-Table1[[#This Row],[Net FII (cr)]])/(PERCENTILE(Indicators!$K$2:$K$121,0.95)-PERCENTILE(Indicators!$K$2:$K$121,0.05))*10))</f>
        <v>2.7535848368215152</v>
      </c>
      <c r="G91" s="24">
        <f>MAX(0,MIN(10,(Indicators!C92-PERCENTILE(Indicators!$C:$C,0.05))/(PERCENTILE(Indicators!$C:$C,0.95)-PERCENTILE(Indicators!$C:$C,0.05))*10))</f>
        <v>3.8237675781234648</v>
      </c>
      <c r="H91" s="37">
        <f>MAX(0,MIN(10,(Indicators!D92-PERCENTILE(Indicators!$D:$D,0.05))/(PERCENTILE(Indicators!$D:$D,0.95)-PERCENTILE(Indicators!$D:$D,0.05))*10))</f>
        <v>0</v>
      </c>
      <c r="I91" s="24">
        <f>MAX(0,MIN(10,(Table1[[#This Row],[INDIA VIX]]-PERCENTILE(Indicators!$E$2:$E$121,0.05))/(PERCENTILE(Indicators!$E$2:$E$121,0.95)-PERCENTILE(Indicators!$E$2:$E$121,0.05))*10))</f>
        <v>4.0604820615012516</v>
      </c>
      <c r="J91" s="24">
        <f>MAX(0,MIN(10,(Indicators!G92-PERCENTILE(Indicators!$G:$G,0.05))/(PERCENTILE(Indicators!$G:$G,0.95)-PERCENTILE(Indicators!$G:$G,0.05))*10))</f>
        <v>0</v>
      </c>
      <c r="K91" s="24">
        <f>MAX(0,MIN(10,(Indicators!H92-PERCENTILE(Indicators!$H:$H,0.05))/(PERCENTILE(Indicators!$H:$H,0.95)-PERCENTILE(Indicators!$H:$H,0.05))*10))</f>
        <v>4.4509639564124095</v>
      </c>
      <c r="L91" s="24">
        <f>MAX(0,MIN(10,(Indicators!I92-PERCENTILE(Indicators!$I:$I,0.05))/(PERCENTILE(Indicators!$I:$I,0.95)-PERCENTILE(Indicators!$I:$I,0.05))*10))</f>
        <v>6.5565721937067618</v>
      </c>
      <c r="M91" s="24">
        <f>MAX(0,MIN(10,(Indicators!J92-PERCENTILE(Indicators!$J:$J,0.05))/(PERCENTILE(Indicators!$J:$J,0.95)-PERCENTILE(Indicators!$J:$J,0.05))*10))</f>
        <v>7.3412735336993276</v>
      </c>
      <c r="N91" s="24">
        <f>MAX(0,MIN(10,(PERCENTILE(Indicators!$K$2:$K$121,0.95)-Table1[[#This Row],[Net FII (cr)]])/(PERCENTILE(Indicators!$K$2:$K$121,0.95)-PERCENTILE(Indicators!$K$2:$K$121,0.05))*10))</f>
        <v>2.7535848368215152</v>
      </c>
    </row>
    <row r="92" spans="5:14" s="22" customFormat="1" x14ac:dyDescent="0.35">
      <c r="E92" s="38">
        <v>44501</v>
      </c>
      <c r="F92" s="24">
        <f>MAX(0,MIN(10,(PERCENTILE(Indicators!$K$2:$K$121,0.95)-Table1[[#This Row],[Net FII (cr)]])/(PERCENTILE(Indicators!$K$2:$K$121,0.95)-PERCENTILE(Indicators!$K$2:$K$121,0.05))*10))</f>
        <v>7.2795891203834024</v>
      </c>
      <c r="G92" s="24">
        <f>MAX(0,MIN(10,(Indicators!C93-PERCENTILE(Indicators!$C:$C,0.05))/(PERCENTILE(Indicators!$C:$C,0.95)-PERCENTILE(Indicators!$C:$C,0.05))*10))</f>
        <v>4.6701856159573563</v>
      </c>
      <c r="H92" s="37">
        <f>MAX(0,MIN(10,(Indicators!D93-PERCENTILE(Indicators!$D:$D,0.05))/(PERCENTILE(Indicators!$D:$D,0.95)-PERCENTILE(Indicators!$D:$D,0.05))*10))</f>
        <v>0</v>
      </c>
      <c r="I92" s="24">
        <f>MAX(0,MIN(10,(Table1[[#This Row],[INDIA VIX]]-PERCENTILE(Indicators!$E$2:$E$121,0.05))/(PERCENTILE(Indicators!$E$2:$E$121,0.95)-PERCENTILE(Indicators!$E$2:$E$121,0.05))*10))</f>
        <v>3.4657012253093704</v>
      </c>
      <c r="J92" s="24">
        <f>MAX(0,MIN(10,(Indicators!G93-PERCENTILE(Indicators!$G:$G,0.05))/(PERCENTILE(Indicators!$G:$G,0.95)-PERCENTILE(Indicators!$G:$G,0.05))*10))</f>
        <v>0.49574767947262333</v>
      </c>
      <c r="K92" s="24">
        <f>MAX(0,MIN(10,(Indicators!H93-PERCENTILE(Indicators!$H:$H,0.05))/(PERCENTILE(Indicators!$H:$H,0.95)-PERCENTILE(Indicators!$H:$H,0.05))*10))</f>
        <v>2.523051131601008</v>
      </c>
      <c r="L92" s="24">
        <f>MAX(0,MIN(10,(Indicators!I93-PERCENTILE(Indicators!$I:$I,0.05))/(PERCENTILE(Indicators!$I:$I,0.95)-PERCENTILE(Indicators!$I:$I,0.05))*10))</f>
        <v>4.815889310421781</v>
      </c>
      <c r="M92" s="24">
        <f>MAX(0,MIN(10,(Indicators!J93-PERCENTILE(Indicators!$J:$J,0.05))/(PERCENTILE(Indicators!$J:$J,0.95)-PERCENTILE(Indicators!$J:$J,0.05))*10))</f>
        <v>0</v>
      </c>
      <c r="N92" s="24">
        <f>MAX(0,MIN(10,(PERCENTILE(Indicators!$K$2:$K$121,0.95)-Table1[[#This Row],[Net FII (cr)]])/(PERCENTILE(Indicators!$K$2:$K$121,0.95)-PERCENTILE(Indicators!$K$2:$K$121,0.05))*10))</f>
        <v>7.2795891203834024</v>
      </c>
    </row>
    <row r="93" spans="5:14" s="22" customFormat="1" x14ac:dyDescent="0.35">
      <c r="E93" s="38">
        <v>44531</v>
      </c>
      <c r="F93" s="24">
        <f>MAX(0,MIN(10,(PERCENTILE(Indicators!$K$2:$K$121,0.95)-Table1[[#This Row],[Net FII (cr)]])/(PERCENTILE(Indicators!$K$2:$K$121,0.95)-PERCENTILE(Indicators!$K$2:$K$121,0.05))*10))</f>
        <v>6.1629802960657445</v>
      </c>
      <c r="G93" s="24">
        <f>MAX(0,MIN(10,(Indicators!C94-PERCENTILE(Indicators!$C:$C,0.05))/(PERCENTILE(Indicators!$C:$C,0.95)-PERCENTILE(Indicators!$C:$C,0.05))*10))</f>
        <v>6.1573481840583701</v>
      </c>
      <c r="H93" s="37">
        <f>MAX(0,MIN(10,(Indicators!D94-PERCENTILE(Indicators!$D:$D,0.05))/(PERCENTILE(Indicators!$D:$D,0.95)-PERCENTILE(Indicators!$D:$D,0.05))*10))</f>
        <v>0</v>
      </c>
      <c r="I93" s="24">
        <f>MAX(0,MIN(10,(Table1[[#This Row],[INDIA VIX]]-PERCENTILE(Indicators!$E$2:$E$121,0.05))/(PERCENTILE(Indicators!$E$2:$E$121,0.95)-PERCENTILE(Indicators!$E$2:$E$121,0.05))*10))</f>
        <v>5.7429056032614074</v>
      </c>
      <c r="J93" s="24">
        <f>MAX(0,MIN(10,(Indicators!G94-PERCENTILE(Indicators!$G:$G,0.05))/(PERCENTILE(Indicators!$G:$G,0.95)-PERCENTILE(Indicators!$G:$G,0.05))*10))</f>
        <v>0.48425783989918419</v>
      </c>
      <c r="K93" s="24">
        <f>MAX(0,MIN(10,(Indicators!H94-PERCENTILE(Indicators!$H:$H,0.05))/(PERCENTILE(Indicators!$H:$H,0.95)-PERCENTILE(Indicators!$H:$H,0.05))*10))</f>
        <v>3.1098072087175237</v>
      </c>
      <c r="L93" s="24">
        <f>MAX(0,MIN(10,(Indicators!I94-PERCENTILE(Indicators!$I:$I,0.05))/(PERCENTILE(Indicators!$I:$I,0.95)-PERCENTILE(Indicators!$I:$I,0.05))*10))</f>
        <v>2.4503459049319347</v>
      </c>
      <c r="M93" s="24">
        <f>MAX(0,MIN(10,(Indicators!J94-PERCENTILE(Indicators!$J:$J,0.05))/(PERCENTILE(Indicators!$J:$J,0.95)-PERCENTILE(Indicators!$J:$J,0.05))*10))</f>
        <v>8.8362643838590635</v>
      </c>
      <c r="N93" s="24">
        <f>MAX(0,MIN(10,(PERCENTILE(Indicators!$K$2:$K$121,0.95)-Table1[[#This Row],[Net FII (cr)]])/(PERCENTILE(Indicators!$K$2:$K$121,0.95)-PERCENTILE(Indicators!$K$2:$K$121,0.05))*10))</f>
        <v>6.1629802960657445</v>
      </c>
    </row>
    <row r="94" spans="5:14" s="22" customFormat="1" x14ac:dyDescent="0.35">
      <c r="E94" s="38">
        <v>44562</v>
      </c>
      <c r="F94" s="24">
        <f>MAX(0,MIN(10,(PERCENTILE(Indicators!$K$2:$K$121,0.95)-Table1[[#This Row],[Net FII (cr)]])/(PERCENTILE(Indicators!$K$2:$K$121,0.95)-PERCENTILE(Indicators!$K$2:$K$121,0.05))*10))</f>
        <v>9.2237451663539947</v>
      </c>
      <c r="G94" s="24">
        <f>MAX(0,MIN(10,(Indicators!C95-PERCENTILE(Indicators!$C:$C,0.05))/(PERCENTILE(Indicators!$C:$C,0.95)-PERCENTILE(Indicators!$C:$C,0.05))*10))</f>
        <v>6.8641722123742426</v>
      </c>
      <c r="H94" s="37">
        <f>MAX(0,MIN(10,(Indicators!D95-PERCENTILE(Indicators!$D:$D,0.05))/(PERCENTILE(Indicators!$D:$D,0.95)-PERCENTILE(Indicators!$D:$D,0.05))*10))</f>
        <v>0</v>
      </c>
      <c r="I94" s="24">
        <f>MAX(0,MIN(10,(Table1[[#This Row],[INDIA VIX]]-PERCENTILE(Indicators!$E$2:$E$121,0.05))/(PERCENTILE(Indicators!$E$2:$E$121,0.95)-PERCENTILE(Indicators!$E$2:$E$121,0.05))*10))</f>
        <v>2.7340143142907132</v>
      </c>
      <c r="J94" s="24">
        <f>MAX(0,MIN(10,(Indicators!G95-PERCENTILE(Indicators!$G:$G,0.05))/(PERCENTILE(Indicators!$G:$G,0.95)-PERCENTILE(Indicators!$G:$G,0.05))*10))</f>
        <v>0.21964962149804285</v>
      </c>
      <c r="K94" s="24">
        <f>MAX(0,MIN(10,(Indicators!H95-PERCENTILE(Indicators!$H:$H,0.05))/(PERCENTILE(Indicators!$H:$H,0.95)-PERCENTILE(Indicators!$H:$H,0.05))*10))</f>
        <v>2.523051131601008</v>
      </c>
      <c r="L94" s="24">
        <f>MAX(0,MIN(10,(Indicators!I95-PERCENTILE(Indicators!$I:$I,0.05))/(PERCENTILE(Indicators!$I:$I,0.95)-PERCENTILE(Indicators!$I:$I,0.05))*10))</f>
        <v>4.4811426020977461</v>
      </c>
      <c r="M94" s="24">
        <f>MAX(0,MIN(10,(Indicators!J95-PERCENTILE(Indicators!$J:$J,0.05))/(PERCENTILE(Indicators!$J:$J,0.95)-PERCENTILE(Indicators!$J:$J,0.05))*10))</f>
        <v>9.9745665457026789</v>
      </c>
      <c r="N94" s="24">
        <f>MAX(0,MIN(10,(PERCENTILE(Indicators!$K$2:$K$121,0.95)-Table1[[#This Row],[Net FII (cr)]])/(PERCENTILE(Indicators!$K$2:$K$121,0.95)-PERCENTILE(Indicators!$K$2:$K$121,0.05))*10))</f>
        <v>9.2237451663539947</v>
      </c>
    </row>
    <row r="95" spans="5:14" s="22" customFormat="1" x14ac:dyDescent="0.35">
      <c r="E95" s="38">
        <v>44593</v>
      </c>
      <c r="F95" s="24">
        <f>MAX(0,MIN(10,(PERCENTILE(Indicators!$K$2:$K$121,0.95)-Table1[[#This Row],[Net FII (cr)]])/(PERCENTILE(Indicators!$K$2:$K$121,0.95)-PERCENTILE(Indicators!$K$2:$K$121,0.05))*10))</f>
        <v>9.0913195938048261</v>
      </c>
      <c r="G95" s="24">
        <f>MAX(0,MIN(10,(Indicators!C96-PERCENTILE(Indicators!$C:$C,0.05))/(PERCENTILE(Indicators!$C:$C,0.95)-PERCENTILE(Indicators!$C:$C,0.05))*10))</f>
        <v>6.96805443882461</v>
      </c>
      <c r="H95" s="37">
        <f>MAX(0,MIN(10,(Indicators!D96-PERCENTILE(Indicators!$D:$D,0.05))/(PERCENTILE(Indicators!$D:$D,0.95)-PERCENTILE(Indicators!$D:$D,0.05))*10))</f>
        <v>0</v>
      </c>
      <c r="I95" s="24">
        <f>MAX(0,MIN(10,(Table1[[#This Row],[INDIA VIX]]-PERCENTILE(Indicators!$E$2:$E$121,0.05))/(PERCENTILE(Indicators!$E$2:$E$121,0.95)-PERCENTILE(Indicators!$E$2:$E$121,0.05))*10))</f>
        <v>6.2205556865459366</v>
      </c>
      <c r="J95" s="24">
        <f>MAX(0,MIN(10,(Indicators!G96-PERCENTILE(Indicators!$G:$G,0.05))/(PERCENTILE(Indicators!$G:$G,0.95)-PERCENTILE(Indicators!$G:$G,0.05))*10))</f>
        <v>1.9417478761128657</v>
      </c>
      <c r="K95" s="24">
        <f>MAX(0,MIN(10,(Indicators!H96-PERCENTILE(Indicators!$H:$H,0.05))/(PERCENTILE(Indicators!$H:$H,0.95)-PERCENTILE(Indicators!$H:$H,0.05))*10))</f>
        <v>1.0142497904442622</v>
      </c>
      <c r="L95" s="24">
        <f>MAX(0,MIN(10,(Indicators!I96-PERCENTILE(Indicators!$I:$I,0.05))/(PERCENTILE(Indicators!$I:$I,0.95)-PERCENTILE(Indicators!$I:$I,0.05))*10))</f>
        <v>7.1814327159116278</v>
      </c>
      <c r="M95" s="24">
        <f>MAX(0,MIN(10,(Indicators!J96-PERCENTILE(Indicators!$J:$J,0.05))/(PERCENTILE(Indicators!$J:$J,0.95)-PERCENTILE(Indicators!$J:$J,0.05))*10))</f>
        <v>8.225241152569712</v>
      </c>
      <c r="N95" s="24">
        <f>MAX(0,MIN(10,(PERCENTILE(Indicators!$K$2:$K$121,0.95)-Table1[[#This Row],[Net FII (cr)]])/(PERCENTILE(Indicators!$K$2:$K$121,0.95)-PERCENTILE(Indicators!$K$2:$K$121,0.05))*10))</f>
        <v>9.0913195938048261</v>
      </c>
    </row>
    <row r="96" spans="5:14" s="22" customFormat="1" x14ac:dyDescent="0.35">
      <c r="E96" s="38">
        <v>44621</v>
      </c>
      <c r="F96" s="24">
        <f>MAX(0,MIN(10,(PERCENTILE(Indicators!$K$2:$K$121,0.95)-Table1[[#This Row],[Net FII (cr)]])/(PERCENTILE(Indicators!$K$2:$K$121,0.95)-PERCENTILE(Indicators!$K$2:$K$121,0.05))*10))</f>
        <v>10</v>
      </c>
      <c r="G96" s="24">
        <f>MAX(0,MIN(10,(Indicators!C97-PERCENTILE(Indicators!$C:$C,0.05))/(PERCENTILE(Indicators!$C:$C,0.95)-PERCENTILE(Indicators!$C:$C,0.05))*10))</f>
        <v>8.7249449679954072</v>
      </c>
      <c r="H96" s="37">
        <f>MAX(0,MIN(10,(Indicators!D97-PERCENTILE(Indicators!$D:$D,0.05))/(PERCENTILE(Indicators!$D:$D,0.95)-PERCENTILE(Indicators!$D:$D,0.05))*10))</f>
        <v>0</v>
      </c>
      <c r="I96" s="24">
        <f>MAX(0,MIN(10,(Table1[[#This Row],[INDIA VIX]]-PERCENTILE(Indicators!$E$2:$E$121,0.05))/(PERCENTILE(Indicators!$E$2:$E$121,0.95)-PERCENTILE(Indicators!$E$2:$E$121,0.05))*10))</f>
        <v>10</v>
      </c>
      <c r="J96" s="24">
        <f>MAX(0,MIN(10,(Indicators!G97-PERCENTILE(Indicators!$G:$G,0.05))/(PERCENTILE(Indicators!$G:$G,0.95)-PERCENTILE(Indicators!$G:$G,0.05))*10))</f>
        <v>1.8240594790581417</v>
      </c>
      <c r="K96" s="24">
        <f>MAX(0,MIN(10,(Indicators!H97-PERCENTILE(Indicators!$H:$H,0.05))/(PERCENTILE(Indicators!$H:$H,0.95)-PERCENTILE(Indicators!$H:$H,0.05))*10))</f>
        <v>2.1039396479463557</v>
      </c>
      <c r="L96" s="24">
        <f>MAX(0,MIN(10,(Indicators!I97-PERCENTILE(Indicators!$I:$I,0.05))/(PERCENTILE(Indicators!$I:$I,0.95)-PERCENTILE(Indicators!$I:$I,0.05))*10))</f>
        <v>5.5076991742914538</v>
      </c>
      <c r="M96" s="24">
        <f>MAX(0,MIN(10,(Indicators!J97-PERCENTILE(Indicators!$J:$J,0.05))/(PERCENTILE(Indicators!$J:$J,0.95)-PERCENTILE(Indicators!$J:$J,0.05))*10))</f>
        <v>7.3319686113954301</v>
      </c>
      <c r="N96" s="24">
        <f>MAX(0,MIN(10,(PERCENTILE(Indicators!$K$2:$K$121,0.95)-Table1[[#This Row],[Net FII (cr)]])/(PERCENTILE(Indicators!$K$2:$K$121,0.95)-PERCENTILE(Indicators!$K$2:$K$121,0.05))*10))</f>
        <v>10</v>
      </c>
    </row>
    <row r="97" spans="5:14" s="22" customFormat="1" x14ac:dyDescent="0.35">
      <c r="E97" s="38">
        <v>44652</v>
      </c>
      <c r="F97" s="24">
        <f>MAX(0,MIN(10,(PERCENTILE(Indicators!$K$2:$K$121,0.95)-Table1[[#This Row],[Net FII (cr)]])/(PERCENTILE(Indicators!$K$2:$K$121,0.95)-PERCENTILE(Indicators!$K$2:$K$121,0.05))*10))</f>
        <v>10</v>
      </c>
      <c r="G97" s="24">
        <f>MAX(0,MIN(10,(Indicators!C98-PERCENTILE(Indicators!$C:$C,0.05))/(PERCENTILE(Indicators!$C:$C,0.95)-PERCENTILE(Indicators!$C:$C,0.05))*10))</f>
        <v>10</v>
      </c>
      <c r="H97" s="37">
        <f>MAX(0,MIN(10,(Indicators!D98-PERCENTILE(Indicators!$D:$D,0.05))/(PERCENTILE(Indicators!$D:$D,0.95)-PERCENTILE(Indicators!$D:$D,0.05))*10))</f>
        <v>0</v>
      </c>
      <c r="I97" s="24">
        <f>MAX(0,MIN(10,(Table1[[#This Row],[INDIA VIX]]-PERCENTILE(Indicators!$E$2:$E$121,0.05))/(PERCENTILE(Indicators!$E$2:$E$121,0.95)-PERCENTILE(Indicators!$E$2:$E$121,0.05))*10))</f>
        <v>5.3732592012291125</v>
      </c>
      <c r="J97" s="24">
        <f>MAX(0,MIN(10,(Indicators!G98-PERCENTILE(Indicators!$G:$G,0.05))/(PERCENTILE(Indicators!$G:$G,0.95)-PERCENTILE(Indicators!$G:$G,0.05))*10))</f>
        <v>1.9608786442407022</v>
      </c>
      <c r="K97" s="24">
        <f>MAX(0,MIN(10,(Indicators!H98-PERCENTILE(Indicators!$H:$H,0.05))/(PERCENTILE(Indicators!$H:$H,0.95)-PERCENTILE(Indicators!$H:$H,0.05))*10))</f>
        <v>1.3495389773679829</v>
      </c>
      <c r="L97" s="24">
        <f>MAX(0,MIN(10,(Indicators!I98-PERCENTILE(Indicators!$I:$I,0.05))/(PERCENTILE(Indicators!$I:$I,0.95)-PERCENTILE(Indicators!$I:$I,0.05))*10))</f>
        <v>6.132559696496318</v>
      </c>
      <c r="M97" s="24">
        <f>MAX(0,MIN(10,(Indicators!J98-PERCENTILE(Indicators!$J:$J,0.05))/(PERCENTILE(Indicators!$J:$J,0.95)-PERCENTILE(Indicators!$J:$J,0.05))*10))</f>
        <v>5.9176204212028169</v>
      </c>
      <c r="N97" s="24">
        <f>MAX(0,MIN(10,(PERCENTILE(Indicators!$K$2:$K$121,0.95)-Table1[[#This Row],[Net FII (cr)]])/(PERCENTILE(Indicators!$K$2:$K$121,0.95)-PERCENTILE(Indicators!$K$2:$K$121,0.05))*10))</f>
        <v>10</v>
      </c>
    </row>
    <row r="98" spans="5:14" s="22" customFormat="1" x14ac:dyDescent="0.35">
      <c r="E98" s="38">
        <v>44682</v>
      </c>
      <c r="F98" s="24">
        <f>MAX(0,MIN(10,(PERCENTILE(Indicators!$K$2:$K$121,0.95)-Table1[[#This Row],[Net FII (cr)]])/(PERCENTILE(Indicators!$K$2:$K$121,0.95)-PERCENTILE(Indicators!$K$2:$K$121,0.05))*10))</f>
        <v>8.4339212157928749</v>
      </c>
      <c r="G98" s="24">
        <f>MAX(0,MIN(10,(Indicators!C99-PERCENTILE(Indicators!$C:$C,0.05))/(PERCENTILE(Indicators!$C:$C,0.95)-PERCENTILE(Indicators!$C:$C,0.05))*10))</f>
        <v>8.9102514133727304</v>
      </c>
      <c r="H98" s="37">
        <f>MAX(0,MIN(10,(Indicators!D99-PERCENTILE(Indicators!$D:$D,0.05))/(PERCENTILE(Indicators!$D:$D,0.95)-PERCENTILE(Indicators!$D:$D,0.05))*10))</f>
        <v>0.99999999999999867</v>
      </c>
      <c r="I98" s="24">
        <f>MAX(0,MIN(10,(Table1[[#This Row],[INDIA VIX]]-PERCENTILE(Indicators!$E$2:$E$121,0.05))/(PERCENTILE(Indicators!$E$2:$E$121,0.95)-PERCENTILE(Indicators!$E$2:$E$121,0.05))*10))</f>
        <v>4.6765593982217428</v>
      </c>
      <c r="J98" s="24">
        <f>MAX(0,MIN(10,(Indicators!G99-PERCENTILE(Indicators!$G:$G,0.05))/(PERCENTILE(Indicators!$G:$G,0.95)-PERCENTILE(Indicators!$G:$G,0.05))*10))</f>
        <v>2.1419793134399217</v>
      </c>
      <c r="K98" s="24">
        <f>MAX(0,MIN(10,(Indicators!H99-PERCENTILE(Indicators!$H:$H,0.05))/(PERCENTILE(Indicators!$H:$H,0.95)-PERCENTILE(Indicators!$H:$H,0.05))*10))</f>
        <v>8.382229673094356E-3</v>
      </c>
      <c r="L98" s="24">
        <f>MAX(0,MIN(10,(Indicators!I99-PERCENTILE(Indicators!$I:$I,0.05))/(PERCENTILE(Indicators!$I:$I,0.95)-PERCENTILE(Indicators!$I:$I,0.05))*10))</f>
        <v>7.3599642936844454</v>
      </c>
      <c r="M98" s="24">
        <f>MAX(0,MIN(10,(Indicators!J99-PERCENTILE(Indicators!$J:$J,0.05))/(PERCENTILE(Indicators!$J:$J,0.95)-PERCENTILE(Indicators!$J:$J,0.05))*10))</f>
        <v>7.6483359697279871</v>
      </c>
      <c r="N98" s="24">
        <f>MAX(0,MIN(10,(PERCENTILE(Indicators!$K$2:$K$121,0.95)-Table1[[#This Row],[Net FII (cr)]])/(PERCENTILE(Indicators!$K$2:$K$121,0.95)-PERCENTILE(Indicators!$K$2:$K$121,0.05))*10))</f>
        <v>8.4339212157928749</v>
      </c>
    </row>
    <row r="99" spans="5:14" s="22" customFormat="1" x14ac:dyDescent="0.35">
      <c r="E99" s="38">
        <v>44713</v>
      </c>
      <c r="F99" s="24">
        <f>MAX(0,MIN(10,(PERCENTILE(Indicators!$K$2:$K$121,0.95)-Table1[[#This Row],[Net FII (cr)]])/(PERCENTILE(Indicators!$K$2:$K$121,0.95)-PERCENTILE(Indicators!$K$2:$K$121,0.05))*10))</f>
        <v>9.9912729745981625</v>
      </c>
      <c r="G99" s="24">
        <f>MAX(0,MIN(10,(Indicators!C100-PERCENTILE(Indicators!$C:$C,0.05))/(PERCENTILE(Indicators!$C:$C,0.95)-PERCENTILE(Indicators!$C:$C,0.05))*10))</f>
        <v>8.8322279765187375</v>
      </c>
      <c r="H99" s="37">
        <f>MAX(0,MIN(10,(Indicators!D100-PERCENTILE(Indicators!$D:$D,0.05))/(PERCENTILE(Indicators!$D:$D,0.95)-PERCENTILE(Indicators!$D:$D,0.05))*10))</f>
        <v>2.2500000000000009</v>
      </c>
      <c r="I99" s="24">
        <f>MAX(0,MIN(10,(Table1[[#This Row],[INDIA VIX]]-PERCENTILE(Indicators!$E$2:$E$121,0.05))/(PERCENTILE(Indicators!$E$2:$E$121,0.95)-PERCENTILE(Indicators!$E$2:$E$121,0.05))*10))</f>
        <v>5.3230603071259619</v>
      </c>
      <c r="J99" s="24">
        <f>MAX(0,MIN(10,(Indicators!G100-PERCENTILE(Indicators!$G:$G,0.05))/(PERCENTILE(Indicators!$G:$G,0.95)-PERCENTILE(Indicators!$G:$G,0.05))*10))</f>
        <v>3.0882738905199352</v>
      </c>
      <c r="K99" s="24">
        <f>MAX(0,MIN(10,(Indicators!H100-PERCENTILE(Indicators!$H:$H,0.05))/(PERCENTILE(Indicators!$H:$H,0.95)-PERCENTILE(Indicators!$H:$H,0.05))*10))</f>
        <v>0</v>
      </c>
      <c r="L99" s="24">
        <f>MAX(0,MIN(10,(Indicators!I100-PERCENTILE(Indicators!$I:$I,0.05))/(PERCENTILE(Indicators!$I:$I,0.95)-PERCENTILE(Indicators!$I:$I,0.05))*10))</f>
        <v>8.2749386297701424</v>
      </c>
      <c r="M99" s="24">
        <f>MAX(0,MIN(10,(Indicators!J100-PERCENTILE(Indicators!$J:$J,0.05))/(PERCENTILE(Indicators!$J:$J,0.95)-PERCENTILE(Indicators!$J:$J,0.05))*10))</f>
        <v>3.4363078068298138</v>
      </c>
      <c r="N99" s="24">
        <f>MAX(0,MIN(10,(PERCENTILE(Indicators!$K$2:$K$121,0.95)-Table1[[#This Row],[Net FII (cr)]])/(PERCENTILE(Indicators!$K$2:$K$121,0.95)-PERCENTILE(Indicators!$K$2:$K$121,0.05))*10))</f>
        <v>9.9912729745981625</v>
      </c>
    </row>
    <row r="100" spans="5:14" s="22" customFormat="1" x14ac:dyDescent="0.35">
      <c r="E100" s="38">
        <v>44743</v>
      </c>
      <c r="F100" s="24">
        <f>MAX(0,MIN(10,(PERCENTILE(Indicators!$K$2:$K$121,0.95)-Table1[[#This Row],[Net FII (cr)]])/(PERCENTILE(Indicators!$K$2:$K$121,0.95)-PERCENTILE(Indicators!$K$2:$K$121,0.05))*10))</f>
        <v>10</v>
      </c>
      <c r="G100" s="24">
        <f>MAX(0,MIN(10,(Indicators!C101-PERCENTILE(Indicators!$C:$C,0.05))/(PERCENTILE(Indicators!$C:$C,0.95)-PERCENTILE(Indicators!$C:$C,0.05))*10))</f>
        <v>8.2409456106406225</v>
      </c>
      <c r="H100" s="37">
        <f>MAX(0,MIN(10,(Indicators!D101-PERCENTILE(Indicators!$D:$D,0.05))/(PERCENTILE(Indicators!$D:$D,0.95)-PERCENTILE(Indicators!$D:$D,0.05))*10))</f>
        <v>2.2500000000000009</v>
      </c>
      <c r="I100" s="24">
        <f>MAX(0,MIN(10,(Table1[[#This Row],[INDIA VIX]]-PERCENTILE(Indicators!$E$2:$E$121,0.05))/(PERCENTILE(Indicators!$E$2:$E$121,0.95)-PERCENTILE(Indicators!$E$2:$E$121,0.05))*10))</f>
        <v>6.1521026491325497</v>
      </c>
      <c r="J100" s="24">
        <f>MAX(0,MIN(10,(Indicators!G101-PERCENTILE(Indicators!$G:$G,0.05))/(PERCENTILE(Indicators!$G:$G,0.95)-PERCENTILE(Indicators!$G:$G,0.05))*10))</f>
        <v>1.1549391341141317</v>
      </c>
      <c r="K100" s="24">
        <f>MAX(0,MIN(10,(Indicators!H101-PERCENTILE(Indicators!$H:$H,0.05))/(PERCENTILE(Indicators!$H:$H,0.95)-PERCENTILE(Indicators!$H:$H,0.05))*10))</f>
        <v>0.25984911986588632</v>
      </c>
      <c r="L100" s="24">
        <f>MAX(0,MIN(10,(Indicators!I101-PERCENTILE(Indicators!$I:$I,0.05))/(PERCENTILE(Indicators!$I:$I,0.95)-PERCENTILE(Indicators!$I:$I,0.05))*10))</f>
        <v>5.3961169381834413</v>
      </c>
      <c r="M100" s="24">
        <f>MAX(0,MIN(10,(Indicators!J101-PERCENTILE(Indicators!$J:$J,0.05))/(PERCENTILE(Indicators!$J:$J,0.95)-PERCENTILE(Indicators!$J:$J,0.05))*10))</f>
        <v>3.7588784466983043</v>
      </c>
      <c r="N100" s="24">
        <f>MAX(0,MIN(10,(PERCENTILE(Indicators!$K$2:$K$121,0.95)-Table1[[#This Row],[Net FII (cr)]])/(PERCENTILE(Indicators!$K$2:$K$121,0.95)-PERCENTILE(Indicators!$K$2:$K$121,0.05))*10))</f>
        <v>10</v>
      </c>
    </row>
    <row r="101" spans="5:14" s="22" customFormat="1" x14ac:dyDescent="0.35">
      <c r="E101" s="38">
        <v>44774</v>
      </c>
      <c r="F101" s="24">
        <f>MAX(0,MIN(10,(PERCENTILE(Indicators!$K$2:$K$121,0.95)-Table1[[#This Row],[Net FII (cr)]])/(PERCENTILE(Indicators!$K$2:$K$121,0.95)-PERCENTILE(Indicators!$K$2:$K$121,0.05))*10))</f>
        <v>5.6571506430973164</v>
      </c>
      <c r="G101" s="24">
        <f>MAX(0,MIN(10,(Indicators!C102-PERCENTILE(Indicators!$C:$C,0.05))/(PERCENTILE(Indicators!$C:$C,0.95)-PERCENTILE(Indicators!$C:$C,0.05))*10))</f>
        <v>8.8174973229944307</v>
      </c>
      <c r="H101" s="37">
        <f>MAX(0,MIN(10,(Indicators!D102-PERCENTILE(Indicators!$D:$D,0.05))/(PERCENTILE(Indicators!$D:$D,0.95)-PERCENTILE(Indicators!$D:$D,0.05))*10))</f>
        <v>3.5000000000000009</v>
      </c>
      <c r="I101" s="24">
        <f>MAX(0,MIN(10,(Table1[[#This Row],[INDIA VIX]]-PERCENTILE(Indicators!$E$2:$E$121,0.05))/(PERCENTILE(Indicators!$E$2:$E$121,0.95)-PERCENTILE(Indicators!$E$2:$E$121,0.05))*10))</f>
        <v>2.9332887120941313</v>
      </c>
      <c r="J101" s="24">
        <f>MAX(0,MIN(10,(Indicators!G102-PERCENTILE(Indicators!$G:$G,0.05))/(PERCENTILE(Indicators!$G:$G,0.95)-PERCENTILE(Indicators!$G:$G,0.05))*10))</f>
        <v>6.8530080293209589E-2</v>
      </c>
      <c r="K101" s="24">
        <f>MAX(0,MIN(10,(Indicators!H102-PERCENTILE(Indicators!$H:$H,0.05))/(PERCENTILE(Indicators!$H:$H,0.95)-PERCENTILE(Indicators!$H:$H,0.05))*10))</f>
        <v>0.67896060352053855</v>
      </c>
      <c r="L101" s="24">
        <f>MAX(0,MIN(10,(Indicators!I102-PERCENTILE(Indicators!$I:$I,0.05))/(PERCENTILE(Indicators!$I:$I,0.95)-PERCENTILE(Indicators!$I:$I,0.05))*10))</f>
        <v>4.7489399687569742</v>
      </c>
      <c r="M101" s="24">
        <f>MAX(0,MIN(10,(Indicators!J102-PERCENTILE(Indicators!$J:$J,0.05))/(PERCENTILE(Indicators!$J:$J,0.95)-PERCENTILE(Indicators!$J:$J,0.05))*10))</f>
        <v>2.7136255078936768</v>
      </c>
      <c r="N101" s="24">
        <f>MAX(0,MIN(10,(PERCENTILE(Indicators!$K$2:$K$121,0.95)-Table1[[#This Row],[Net FII (cr)]])/(PERCENTILE(Indicators!$K$2:$K$121,0.95)-PERCENTILE(Indicators!$K$2:$K$121,0.05))*10))</f>
        <v>5.6571506430973164</v>
      </c>
    </row>
    <row r="102" spans="5:14" s="22" customFormat="1" x14ac:dyDescent="0.35">
      <c r="E102" s="38">
        <v>44805</v>
      </c>
      <c r="F102" s="24">
        <f>MAX(0,MIN(10,(PERCENTILE(Indicators!$K$2:$K$121,0.95)-Table1[[#This Row],[Net FII (cr)]])/(PERCENTILE(Indicators!$K$2:$K$121,0.95)-PERCENTILE(Indicators!$K$2:$K$121,0.05))*10))</f>
        <v>0</v>
      </c>
      <c r="G102" s="24">
        <f>MAX(0,MIN(10,(Indicators!C103-PERCENTILE(Indicators!$C:$C,0.05))/(PERCENTILE(Indicators!$C:$C,0.95)-PERCENTILE(Indicators!$C:$C,0.05))*10))</f>
        <v>9.6433375023386567</v>
      </c>
      <c r="H102" s="37">
        <f>MAX(0,MIN(10,(Indicators!D103-PERCENTILE(Indicators!$D:$D,0.05))/(PERCENTILE(Indicators!$D:$D,0.95)-PERCENTILE(Indicators!$D:$D,0.05))*10))</f>
        <v>4.7499999999999982</v>
      </c>
      <c r="I102" s="24">
        <f>MAX(0,MIN(10,(Table1[[#This Row],[INDIA VIX]]-PERCENTILE(Indicators!$E$2:$E$121,0.05))/(PERCENTILE(Indicators!$E$2:$E$121,0.95)-PERCENTILE(Indicators!$E$2:$E$121,0.05))*10))</f>
        <v>4.2415023159944329</v>
      </c>
      <c r="J102" s="24">
        <f>MAX(0,MIN(10,(Indicators!G103-PERCENTILE(Indicators!$G:$G,0.05))/(PERCENTILE(Indicators!$G:$G,0.95)-PERCENTILE(Indicators!$G:$G,0.05))*10))</f>
        <v>0.63632261239988264</v>
      </c>
      <c r="K102" s="24">
        <f>MAX(0,MIN(10,(Indicators!H103-PERCENTILE(Indicators!$H:$H,0.05))/(PERCENTILE(Indicators!$H:$H,0.95)-PERCENTILE(Indicators!$H:$H,0.05))*10))</f>
        <v>0.17602682313495766</v>
      </c>
      <c r="L102" s="24">
        <f>MAX(0,MIN(10,(Indicators!I103-PERCENTILE(Indicators!$I:$I,0.05))/(PERCENTILE(Indicators!$I:$I,0.95)-PERCENTILE(Indicators!$I:$I,0.05))*10))</f>
        <v>9.9709886186119174</v>
      </c>
      <c r="M102" s="24">
        <f>MAX(0,MIN(10,(Indicators!J103-PERCENTILE(Indicators!$J:$J,0.05))/(PERCENTILE(Indicators!$J:$J,0.95)-PERCENTILE(Indicators!$J:$J,0.05))*10))</f>
        <v>1.792438199807699</v>
      </c>
      <c r="N102" s="24">
        <f>MAX(0,MIN(10,(PERCENTILE(Indicators!$K$2:$K$121,0.95)-Table1[[#This Row],[Net FII (cr)]])/(PERCENTILE(Indicators!$K$2:$K$121,0.95)-PERCENTILE(Indicators!$K$2:$K$121,0.05))*10))</f>
        <v>0</v>
      </c>
    </row>
    <row r="103" spans="5:14" s="22" customFormat="1" x14ac:dyDescent="0.35">
      <c r="E103" s="38">
        <v>44835</v>
      </c>
      <c r="F103" s="24">
        <f>MAX(0,MIN(10,(PERCENTILE(Indicators!$K$2:$K$121,0.95)-Table1[[#This Row],[Net FII (cr)]])/(PERCENTILE(Indicators!$K$2:$K$121,0.95)-PERCENTILE(Indicators!$K$2:$K$121,0.05))*10))</f>
        <v>6.3244584176945784</v>
      </c>
      <c r="G103" s="24">
        <f>MAX(0,MIN(10,(Indicators!C104-PERCENTILE(Indicators!$C:$C,0.05))/(PERCENTILE(Indicators!$C:$C,0.95)-PERCENTILE(Indicators!$C:$C,0.05))*10))</f>
        <v>8.3594041922904658</v>
      </c>
      <c r="H103" s="37">
        <f>MAX(0,MIN(10,(Indicators!D104-PERCENTILE(Indicators!$D:$D,0.05))/(PERCENTILE(Indicators!$D:$D,0.95)-PERCENTILE(Indicators!$D:$D,0.05))*10))</f>
        <v>4.7499999999999982</v>
      </c>
      <c r="I103" s="24">
        <f>MAX(0,MIN(10,(Table1[[#This Row],[INDIA VIX]]-PERCENTILE(Indicators!$E$2:$E$121,0.05))/(PERCENTILE(Indicators!$E$2:$E$121,0.95)-PERCENTILE(Indicators!$E$2:$E$121,0.05))*10))</f>
        <v>5.012739870851938</v>
      </c>
      <c r="J103" s="24">
        <f>MAX(0,MIN(10,(Indicators!G104-PERCENTILE(Indicators!$G:$G,0.05))/(PERCENTILE(Indicators!$G:$G,0.95)-PERCENTILE(Indicators!$G:$G,0.05))*10))</f>
        <v>0</v>
      </c>
      <c r="K103" s="24">
        <f>MAX(0,MIN(10,(Indicators!H104-PERCENTILE(Indicators!$H:$H,0.05))/(PERCENTILE(Indicators!$H:$H,0.95)-PERCENTILE(Indicators!$H:$H,0.05))*10))</f>
        <v>0.84660519698239889</v>
      </c>
      <c r="L103" s="24">
        <f>MAX(0,MIN(10,(Indicators!I104-PERCENTILE(Indicators!$I:$I,0.05))/(PERCENTILE(Indicators!$I:$I,0.95)-PERCENTILE(Indicators!$I:$I,0.05))*10))</f>
        <v>7.7616603436732881</v>
      </c>
      <c r="M103" s="24">
        <f>MAX(0,MIN(10,(Indicators!J104-PERCENTILE(Indicators!$J:$J,0.05))/(PERCENTILE(Indicators!$J:$J,0.95)-PERCENTILE(Indicators!$J:$J,0.05))*10))</f>
        <v>7.9926180949722418</v>
      </c>
      <c r="N103" s="24">
        <f>MAX(0,MIN(10,(PERCENTILE(Indicators!$K$2:$K$121,0.95)-Table1[[#This Row],[Net FII (cr)]])/(PERCENTILE(Indicators!$K$2:$K$121,0.95)-PERCENTILE(Indicators!$K$2:$K$121,0.05))*10))</f>
        <v>6.3244584176945784</v>
      </c>
    </row>
    <row r="104" spans="5:14" s="22" customFormat="1" x14ac:dyDescent="0.35">
      <c r="E104" s="38">
        <v>44866</v>
      </c>
      <c r="F104" s="24">
        <f>MAX(0,MIN(10,(PERCENTILE(Indicators!$K$2:$K$121,0.95)-Table1[[#This Row],[Net FII (cr)]])/(PERCENTILE(Indicators!$K$2:$K$121,0.95)-PERCENTILE(Indicators!$K$2:$K$121,0.05))*10))</f>
        <v>6.2259274857383504</v>
      </c>
      <c r="G104" s="24">
        <f>MAX(0,MIN(10,(Indicators!C105-PERCENTILE(Indicators!$C:$C,0.05))/(PERCENTILE(Indicators!$C:$C,0.95)-PERCENTILE(Indicators!$C:$C,0.05))*10))</f>
        <v>6.5957093743689574</v>
      </c>
      <c r="H104" s="37">
        <f>MAX(0,MIN(10,(Indicators!D105-PERCENTILE(Indicators!$D:$D,0.05))/(PERCENTILE(Indicators!$D:$D,0.95)-PERCENTILE(Indicators!$D:$D,0.05))*10))</f>
        <v>4.7499999999999982</v>
      </c>
      <c r="I104" s="24">
        <f>MAX(0,MIN(10,(Table1[[#This Row],[INDIA VIX]]-PERCENTILE(Indicators!$E$2:$E$121,0.05))/(PERCENTILE(Indicators!$E$2:$E$121,0.95)-PERCENTILE(Indicators!$E$2:$E$121,0.05))*10))</f>
        <v>2.4784563079473982</v>
      </c>
      <c r="J104" s="24">
        <f>MAX(0,MIN(10,(Indicators!G105-PERCENTILE(Indicators!$G:$G,0.05))/(PERCENTILE(Indicators!$G:$G,0.95)-PERCENTILE(Indicators!$G:$G,0.05))*10))</f>
        <v>0.1170100563820315</v>
      </c>
      <c r="K104" s="24">
        <f>MAX(0,MIN(10,(Indicators!H105-PERCENTILE(Indicators!$H:$H,0.05))/(PERCENTILE(Indicators!$H:$H,0.95)-PERCENTILE(Indicators!$H:$H,0.05))*10))</f>
        <v>1.768650461022635</v>
      </c>
      <c r="L104" s="24">
        <f>MAX(0,MIN(10,(Indicators!I105-PERCENTILE(Indicators!$I:$I,0.05))/(PERCENTILE(Indicators!$I:$I,0.95)-PERCENTILE(Indicators!$I:$I,0.05))*10))</f>
        <v>0.50881499665253238</v>
      </c>
      <c r="M104" s="24">
        <f>MAX(0,MIN(10,(Indicators!J105-PERCENTILE(Indicators!$J:$J,0.05))/(PERCENTILE(Indicators!$J:$J,0.95)-PERCENTILE(Indicators!$J:$J,0.05))*10))</f>
        <v>3.2471077199838723</v>
      </c>
      <c r="N104" s="24">
        <f>MAX(0,MIN(10,(PERCENTILE(Indicators!$K$2:$K$121,0.95)-Table1[[#This Row],[Net FII (cr)]])/(PERCENTILE(Indicators!$K$2:$K$121,0.95)-PERCENTILE(Indicators!$K$2:$K$121,0.05))*10))</f>
        <v>6.2259274857383504</v>
      </c>
    </row>
    <row r="105" spans="5:14" s="22" customFormat="1" x14ac:dyDescent="0.35">
      <c r="E105" s="38">
        <v>44896</v>
      </c>
      <c r="F105" s="24">
        <f>MAX(0,MIN(10,(PERCENTILE(Indicators!$K$2:$K$121,0.95)-Table1[[#This Row],[Net FII (cr)]])/(PERCENTILE(Indicators!$K$2:$K$121,0.95)-PERCENTILE(Indicators!$K$2:$K$121,0.05))*10))</f>
        <v>2.0676969436267933</v>
      </c>
      <c r="G105" s="24">
        <f>MAX(0,MIN(10,(Indicators!C106-PERCENTILE(Indicators!$C:$C,0.05))/(PERCENTILE(Indicators!$C:$C,0.95)-PERCENTILE(Indicators!$C:$C,0.05))*10))</f>
        <v>6.2725259614909241</v>
      </c>
      <c r="H105" s="37">
        <f>MAX(0,MIN(10,(Indicators!D106-PERCENTILE(Indicators!$D:$D,0.05))/(PERCENTILE(Indicators!$D:$D,0.95)-PERCENTILE(Indicators!$D:$D,0.05))*10))</f>
        <v>5.625</v>
      </c>
      <c r="I105" s="24">
        <f>MAX(0,MIN(10,(Table1[[#This Row],[INDIA VIX]]-PERCENTILE(Indicators!$E$2:$E$121,0.05))/(PERCENTILE(Indicators!$E$2:$E$121,0.95)-PERCENTILE(Indicators!$E$2:$E$121,0.05))*10))</f>
        <v>1.2645557778166518</v>
      </c>
      <c r="J105" s="24">
        <f>MAX(0,MIN(10,(Indicators!G106-PERCENTILE(Indicators!$G:$G,0.05))/(PERCENTILE(Indicators!$G:$G,0.95)-PERCENTILE(Indicators!$G:$G,0.05))*10))</f>
        <v>1.5041205881037836</v>
      </c>
      <c r="K105" s="24">
        <f>MAX(0,MIN(10,(Indicators!H106-PERCENTILE(Indicators!$H:$H,0.05))/(PERCENTILE(Indicators!$H:$H,0.95)-PERCENTILE(Indicators!$H:$H,0.05))*10))</f>
        <v>1.1818943839061224</v>
      </c>
      <c r="L105" s="24">
        <f>MAX(0,MIN(10,(Indicators!I106-PERCENTILE(Indicators!$I:$I,0.05))/(PERCENTILE(Indicators!$I:$I,0.95)-PERCENTILE(Indicators!$I:$I,0.05))*10))</f>
        <v>8.0294577103325153</v>
      </c>
      <c r="M105" s="24">
        <f>MAX(0,MIN(10,(Indicators!J106-PERCENTILE(Indicators!$J:$J,0.05))/(PERCENTILE(Indicators!$J:$J,0.95)-PERCENTILE(Indicators!$J:$J,0.05))*10))</f>
        <v>4.7265903663037756</v>
      </c>
      <c r="N105" s="24">
        <f>MAX(0,MIN(10,(PERCENTILE(Indicators!$K$2:$K$121,0.95)-Table1[[#This Row],[Net FII (cr)]])/(PERCENTILE(Indicators!$K$2:$K$121,0.95)-PERCENTILE(Indicators!$K$2:$K$121,0.05))*10))</f>
        <v>2.0676969436267933</v>
      </c>
    </row>
    <row r="106" spans="5:14" s="22" customFormat="1" x14ac:dyDescent="0.35">
      <c r="E106" s="38">
        <v>44927</v>
      </c>
      <c r="F106" s="24">
        <f>MAX(0,MIN(10,(PERCENTILE(Indicators!$K$2:$K$121,0.95)-Table1[[#This Row],[Net FII (cr)]])/(PERCENTILE(Indicators!$K$2:$K$121,0.95)-PERCENTILE(Indicators!$K$2:$K$121,0.05))*10))</f>
        <v>4.8463818315717875</v>
      </c>
      <c r="G106" s="24">
        <f>MAX(0,MIN(10,(Indicators!C107-PERCENTILE(Indicators!$C:$C,0.05))/(PERCENTILE(Indicators!$C:$C,0.95)-PERCENTILE(Indicators!$C:$C,0.05))*10))</f>
        <v>7.8640311723941814</v>
      </c>
      <c r="H106" s="37">
        <f>MAX(0,MIN(10,(Indicators!D107-PERCENTILE(Indicators!$D:$D,0.05))/(PERCENTILE(Indicators!$D:$D,0.95)-PERCENTILE(Indicators!$D:$D,0.05))*10))</f>
        <v>5.625</v>
      </c>
      <c r="I106" s="24">
        <f>MAX(0,MIN(10,(Table1[[#This Row],[INDIA VIX]]-PERCENTILE(Indicators!$E$2:$E$121,0.05))/(PERCENTILE(Indicators!$E$2:$E$121,0.95)-PERCENTILE(Indicators!$E$2:$E$121,0.05))*10))</f>
        <v>1.9095355081116849</v>
      </c>
      <c r="J106" s="24">
        <f>MAX(0,MIN(10,(Indicators!G107-PERCENTILE(Indicators!$G:$G,0.05))/(PERCENTILE(Indicators!$G:$G,0.95)-PERCENTILE(Indicators!$G:$G,0.05))*10))</f>
        <v>2.7337307879290851</v>
      </c>
      <c r="K106" s="24">
        <f>MAX(0,MIN(10,(Indicators!H107-PERCENTILE(Indicators!$H:$H,0.05))/(PERCENTILE(Indicators!$H:$H,0.95)-PERCENTILE(Indicators!$H:$H,0.05))*10))</f>
        <v>0.25984911986588632</v>
      </c>
      <c r="L106" s="24">
        <f>MAX(0,MIN(10,(Indicators!I107-PERCENTILE(Indicators!$I:$I,0.05))/(PERCENTILE(Indicators!$I:$I,0.95)-PERCENTILE(Indicators!$I:$I,0.05))*10))</f>
        <v>1.6692702521758536</v>
      </c>
      <c r="M106" s="24">
        <f>MAX(0,MIN(10,(Indicators!J107-PERCENTILE(Indicators!$J:$J,0.05))/(PERCENTILE(Indicators!$J:$J,0.95)-PERCENTILE(Indicators!$J:$J,0.05))*10))</f>
        <v>5.1298036661393889</v>
      </c>
      <c r="N106" s="24">
        <f>MAX(0,MIN(10,(PERCENTILE(Indicators!$K$2:$K$121,0.95)-Table1[[#This Row],[Net FII (cr)]])/(PERCENTILE(Indicators!$K$2:$K$121,0.95)-PERCENTILE(Indicators!$K$2:$K$121,0.05))*10))</f>
        <v>4.8463818315717875</v>
      </c>
    </row>
    <row r="107" spans="5:14" s="22" customFormat="1" x14ac:dyDescent="0.35">
      <c r="E107" s="38">
        <v>44958</v>
      </c>
      <c r="F107" s="24">
        <f>MAX(0,MIN(10,(PERCENTILE(Indicators!$K$2:$K$121,0.95)-Table1[[#This Row],[Net FII (cr)]])/(PERCENTILE(Indicators!$K$2:$K$121,0.95)-PERCENTILE(Indicators!$K$2:$K$121,0.05))*10))</f>
        <v>8.868132957076547</v>
      </c>
      <c r="G107" s="24">
        <f>MAX(0,MIN(10,(Indicators!C108-PERCENTILE(Indicators!$C:$C,0.05))/(PERCENTILE(Indicators!$C:$C,0.95)-PERCENTILE(Indicators!$C:$C,0.05))*10))</f>
        <v>7.7133742282502773</v>
      </c>
      <c r="H107" s="37">
        <f>MAX(0,MIN(10,(Indicators!D108-PERCENTILE(Indicators!$D:$D,0.05))/(PERCENTILE(Indicators!$D:$D,0.95)-PERCENTILE(Indicators!$D:$D,0.05))*10))</f>
        <v>6.25</v>
      </c>
      <c r="I107" s="24">
        <f>MAX(0,MIN(10,(Table1[[#This Row],[INDIA VIX]]-PERCENTILE(Indicators!$E$2:$E$121,0.05))/(PERCENTILE(Indicators!$E$2:$E$121,0.95)-PERCENTILE(Indicators!$E$2:$E$121,0.05))*10))</f>
        <v>3.1310419312883626</v>
      </c>
      <c r="J107" s="24">
        <f>MAX(0,MIN(10,(Indicators!G108-PERCENTILE(Indicators!$G:$G,0.05))/(PERCENTILE(Indicators!$G:$G,0.95)-PERCENTILE(Indicators!$G:$G,0.05))*10))</f>
        <v>2.3178024113938642</v>
      </c>
      <c r="K107" s="24">
        <f>MAX(0,MIN(10,(Indicators!H108-PERCENTILE(Indicators!$H:$H,0.05))/(PERCENTILE(Indicators!$H:$H,0.95)-PERCENTILE(Indicators!$H:$H,0.05))*10))</f>
        <v>8.382229673094356E-3</v>
      </c>
      <c r="L107" s="24">
        <f>MAX(0,MIN(10,(Indicators!I108-PERCENTILE(Indicators!$I:$I,0.05))/(PERCENTILE(Indicators!$I:$I,0.95)-PERCENTILE(Indicators!$I:$I,0.05))*10))</f>
        <v>6.7574202187011831</v>
      </c>
      <c r="M107" s="24">
        <f>MAX(0,MIN(10,(Indicators!J108-PERCENTILE(Indicators!$J:$J,0.05))/(PERCENTILE(Indicators!$J:$J,0.95)-PERCENTILE(Indicators!$J:$J,0.05))*10))</f>
        <v>4.4691541825625771</v>
      </c>
      <c r="N107" s="24">
        <f>MAX(0,MIN(10,(PERCENTILE(Indicators!$K$2:$K$121,0.95)-Table1[[#This Row],[Net FII (cr)]])/(PERCENTILE(Indicators!$K$2:$K$121,0.95)-PERCENTILE(Indicators!$K$2:$K$121,0.05))*10))</f>
        <v>8.868132957076547</v>
      </c>
    </row>
    <row r="108" spans="5:14" s="22" customFormat="1" x14ac:dyDescent="0.35">
      <c r="E108" s="38">
        <v>44986</v>
      </c>
      <c r="F108" s="24">
        <f>MAX(0,MIN(10,(PERCENTILE(Indicators!$K$2:$K$121,0.95)-Table1[[#This Row],[Net FII (cr)]])/(PERCENTILE(Indicators!$K$2:$K$121,0.95)-PERCENTILE(Indicators!$K$2:$K$121,0.05))*10))</f>
        <v>6.3451780651002307</v>
      </c>
      <c r="G108" s="24">
        <f>MAX(0,MIN(10,(Indicators!C109-PERCENTILE(Indicators!$C:$C,0.05))/(PERCENTILE(Indicators!$C:$C,0.95)-PERCENTILE(Indicators!$C:$C,0.05))*10))</f>
        <v>6.1710428820051852</v>
      </c>
      <c r="H108" s="37">
        <f>MAX(0,MIN(10,(Indicators!D109-PERCENTILE(Indicators!$D:$D,0.05))/(PERCENTILE(Indicators!$D:$D,0.95)-PERCENTILE(Indicators!$D:$D,0.05))*10))</f>
        <v>6.25</v>
      </c>
      <c r="I108" s="24">
        <f>MAX(0,MIN(10,(Table1[[#This Row],[INDIA VIX]]-PERCENTILE(Indicators!$E$2:$E$121,0.05))/(PERCENTILE(Indicators!$E$2:$E$121,0.95)-PERCENTILE(Indicators!$E$2:$E$121,0.05))*10))</f>
        <v>1.393855959597496</v>
      </c>
      <c r="J108" s="24">
        <f>MAX(0,MIN(10,(Indicators!G109-PERCENTILE(Indicators!$G:$G,0.05))/(PERCENTILE(Indicators!$G:$G,0.95)-PERCENTILE(Indicators!$G:$G,0.05))*10))</f>
        <v>3.5659169909874642</v>
      </c>
      <c r="K108" s="24">
        <f>MAX(0,MIN(10,(Indicators!H109-PERCENTILE(Indicators!$H:$H,0.05))/(PERCENTILE(Indicators!$H:$H,0.95)-PERCENTILE(Indicators!$H:$H,0.05))*10))</f>
        <v>8.382229673094356E-3</v>
      </c>
      <c r="L108" s="24">
        <f>MAX(0,MIN(10,(Indicators!I109-PERCENTILE(Indicators!$I:$I,0.05))/(PERCENTILE(Indicators!$I:$I,0.95)-PERCENTILE(Indicators!$I:$I,0.05))*10))</f>
        <v>3.008257085471993</v>
      </c>
      <c r="M108" s="24">
        <f>MAX(0,MIN(10,(Indicators!J109-PERCENTILE(Indicators!$J:$J,0.05))/(PERCENTILE(Indicators!$J:$J,0.95)-PERCENTILE(Indicators!$J:$J,0.05))*10))</f>
        <v>3.8736391551130556</v>
      </c>
      <c r="N108" s="24">
        <f>MAX(0,MIN(10,(PERCENTILE(Indicators!$K$2:$K$121,0.95)-Table1[[#This Row],[Net FII (cr)]])/(PERCENTILE(Indicators!$K$2:$K$121,0.95)-PERCENTILE(Indicators!$K$2:$K$121,0.05))*10))</f>
        <v>6.3451780651002307</v>
      </c>
    </row>
    <row r="109" spans="5:14" s="22" customFormat="1" x14ac:dyDescent="0.35">
      <c r="E109" s="38">
        <v>45017</v>
      </c>
      <c r="F109" s="24">
        <f>MAX(0,MIN(10,(PERCENTILE(Indicators!$K$2:$K$121,0.95)-Table1[[#This Row],[Net FII (cr)]])/(PERCENTILE(Indicators!$K$2:$K$121,0.95)-PERCENTILE(Indicators!$K$2:$K$121,0.05))*10))</f>
        <v>5.214831213698389</v>
      </c>
      <c r="G109" s="24">
        <f>MAX(0,MIN(10,(Indicators!C110-PERCENTILE(Indicators!$C:$C,0.05))/(PERCENTILE(Indicators!$C:$C,0.95)-PERCENTILE(Indicators!$C:$C,0.05))*10))</f>
        <v>4.2620230357562638</v>
      </c>
      <c r="H109" s="37">
        <f>MAX(0,MIN(10,(Indicators!D110-PERCENTILE(Indicators!$D:$D,0.05))/(PERCENTILE(Indicators!$D:$D,0.95)-PERCENTILE(Indicators!$D:$D,0.05))*10))</f>
        <v>6.25</v>
      </c>
      <c r="I109" s="24">
        <f>MAX(0,MIN(10,(Table1[[#This Row],[INDIA VIX]]-PERCENTILE(Indicators!$E$2:$E$121,0.05))/(PERCENTILE(Indicators!$E$2:$E$121,0.95)-PERCENTILE(Indicators!$E$2:$E$121,0.05))*10))</f>
        <v>0.73366444321059976</v>
      </c>
      <c r="J109" s="24">
        <f>MAX(0,MIN(10,(Indicators!G110-PERCENTILE(Indicators!$G:$G,0.05))/(PERCENTILE(Indicators!$G:$G,0.95)-PERCENTILE(Indicators!$G:$G,0.05))*10))</f>
        <v>2.9042799080420032</v>
      </c>
      <c r="K109" s="24">
        <f>MAX(0,MIN(10,(Indicators!H110-PERCENTILE(Indicators!$H:$H,0.05))/(PERCENTILE(Indicators!$H:$H,0.95)-PERCENTILE(Indicators!$H:$H,0.05))*10))</f>
        <v>0.42749371332774666</v>
      </c>
      <c r="L109" s="24">
        <f>MAX(0,MIN(10,(Indicators!I110-PERCENTILE(Indicators!$I:$I,0.05))/(PERCENTILE(Indicators!$I:$I,0.95)-PERCENTILE(Indicators!$I:$I,0.05))*10))</f>
        <v>3.0975228743584022</v>
      </c>
      <c r="M109" s="24">
        <f>MAX(0,MIN(10,(Indicators!J110-PERCENTILE(Indicators!$J:$J,0.05))/(PERCENTILE(Indicators!$J:$J,0.95)-PERCENTILE(Indicators!$J:$J,0.05))*10))</f>
        <v>5.3686300052727907</v>
      </c>
      <c r="N109" s="24">
        <f>MAX(0,MIN(10,(PERCENTILE(Indicators!$K$2:$K$121,0.95)-Table1[[#This Row],[Net FII (cr)]])/(PERCENTILE(Indicators!$K$2:$K$121,0.95)-PERCENTILE(Indicators!$K$2:$K$121,0.05))*10))</f>
        <v>5.214831213698389</v>
      </c>
    </row>
    <row r="110" spans="5:14" s="22" customFormat="1" x14ac:dyDescent="0.35">
      <c r="E110" s="38">
        <v>45047</v>
      </c>
      <c r="F110" s="24">
        <f>MAX(0,MIN(10,(PERCENTILE(Indicators!$K$2:$K$121,0.95)-Table1[[#This Row],[Net FII (cr)]])/(PERCENTILE(Indicators!$K$2:$K$121,0.95)-PERCENTILE(Indicators!$K$2:$K$121,0.05))*10))</f>
        <v>4.3538397785700287</v>
      </c>
      <c r="G110" s="24">
        <f>MAX(0,MIN(10,(Indicators!C111-PERCENTILE(Indicators!$C:$C,0.05))/(PERCENTILE(Indicators!$C:$C,0.95)-PERCENTILE(Indicators!$C:$C,0.05))*10))</f>
        <v>3.4814077374611569</v>
      </c>
      <c r="H110" s="37">
        <f>MAX(0,MIN(10,(Indicators!D111-PERCENTILE(Indicators!$D:$D,0.05))/(PERCENTILE(Indicators!$D:$D,0.95)-PERCENTILE(Indicators!$D:$D,0.05))*10))</f>
        <v>6.25</v>
      </c>
      <c r="I110" s="24">
        <f>MAX(0,MIN(10,(Table1[[#This Row],[INDIA VIX]]-PERCENTILE(Indicators!$E$2:$E$121,0.05))/(PERCENTILE(Indicators!$E$2:$E$121,0.95)-PERCENTILE(Indicators!$E$2:$E$121,0.05))*10))</f>
        <v>0</v>
      </c>
      <c r="J110" s="24">
        <f>MAX(0,MIN(10,(Indicators!G111-PERCENTILE(Indicators!$G:$G,0.05))/(PERCENTILE(Indicators!$G:$G,0.95)-PERCENTILE(Indicators!$G:$G,0.05))*10))</f>
        <v>2.4064504761064596</v>
      </c>
      <c r="K110" s="24">
        <f>MAX(0,MIN(10,(Indicators!H111-PERCENTILE(Indicators!$H:$H,0.05))/(PERCENTILE(Indicators!$H:$H,0.95)-PERCENTILE(Indicators!$H:$H,0.05))*10))</f>
        <v>1.0142497904442622</v>
      </c>
      <c r="L110" s="24">
        <f>MAX(0,MIN(10,(Indicators!I111-PERCENTILE(Indicators!$I:$I,0.05))/(PERCENTILE(Indicators!$I:$I,0.95)-PERCENTILE(Indicators!$I:$I,0.05))*10))</f>
        <v>6.9136353492523996</v>
      </c>
      <c r="M110" s="24">
        <f>MAX(0,MIN(10,(Indicators!J111-PERCENTILE(Indicators!$J:$J,0.05))/(PERCENTILE(Indicators!$J:$J,0.95)-PERCENTILE(Indicators!$J:$J,0.05))*10))</f>
        <v>2.2142613442511099</v>
      </c>
      <c r="N110" s="24">
        <f>MAX(0,MIN(10,(PERCENTILE(Indicators!$K$2:$K$121,0.95)-Table1[[#This Row],[Net FII (cr)]])/(PERCENTILE(Indicators!$K$2:$K$121,0.95)-PERCENTILE(Indicators!$K$2:$K$121,0.05))*10))</f>
        <v>4.3538397785700287</v>
      </c>
    </row>
    <row r="111" spans="5:14" s="22" customFormat="1" x14ac:dyDescent="0.35">
      <c r="E111" s="38">
        <v>45078</v>
      </c>
      <c r="F111" s="24">
        <f>MAX(0,MIN(10,(PERCENTILE(Indicators!$K$2:$K$121,0.95)-Table1[[#This Row],[Net FII (cr)]])/(PERCENTILE(Indicators!$K$2:$K$121,0.95)-PERCENTILE(Indicators!$K$2:$K$121,0.05))*10))</f>
        <v>0.43681295788731567</v>
      </c>
      <c r="G111" s="24">
        <f>MAX(0,MIN(10,(Indicators!C112-PERCENTILE(Indicators!$C:$C,0.05))/(PERCENTILE(Indicators!$C:$C,0.95)-PERCENTILE(Indicators!$C:$C,0.05))*10))</f>
        <v>4.5868116145015216</v>
      </c>
      <c r="H111" s="37">
        <f>MAX(0,MIN(10,(Indicators!D112-PERCENTILE(Indicators!$D:$D,0.05))/(PERCENTILE(Indicators!$D:$D,0.95)-PERCENTILE(Indicators!$D:$D,0.05))*10))</f>
        <v>6.25</v>
      </c>
      <c r="I111" s="24">
        <f>MAX(0,MIN(10,(Table1[[#This Row],[INDIA VIX]]-PERCENTILE(Indicators!$E$2:$E$121,0.05))/(PERCENTILE(Indicators!$E$2:$E$121,0.95)-PERCENTILE(Indicators!$E$2:$E$121,0.05))*10))</f>
        <v>0.14801067867383635</v>
      </c>
      <c r="J111" s="24">
        <f>MAX(0,MIN(10,(Indicators!G112-PERCENTILE(Indicators!$G:$G,0.05))/(PERCENTILE(Indicators!$G:$G,0.95)-PERCENTILE(Indicators!$G:$G,0.05))*10))</f>
        <v>1.2476244058824368</v>
      </c>
      <c r="K111" s="24">
        <f>MAX(0,MIN(10,(Indicators!H112-PERCENTILE(Indicators!$H:$H,0.05))/(PERCENTILE(Indicators!$H:$H,0.95)-PERCENTILE(Indicators!$H:$H,0.05))*10))</f>
        <v>1.6848281642917033</v>
      </c>
      <c r="L111" s="24">
        <f>MAX(0,MIN(10,(Indicators!I112-PERCENTILE(Indicators!$I:$I,0.05))/(PERCENTILE(Indicators!$I:$I,0.95)-PERCENTILE(Indicators!$I:$I,0.05))*10))</f>
        <v>2.7181432715911624</v>
      </c>
      <c r="M111" s="24">
        <f>MAX(0,MIN(10,(Indicators!J112-PERCENTILE(Indicators!$J:$J,0.05))/(PERCENTILE(Indicators!$J:$J,0.95)-PERCENTILE(Indicators!$J:$J,0.05))*10))</f>
        <v>6.3983747402375872</v>
      </c>
      <c r="N111" s="24">
        <f>MAX(0,MIN(10,(PERCENTILE(Indicators!$K$2:$K$121,0.95)-Table1[[#This Row],[Net FII (cr)]])/(PERCENTILE(Indicators!$K$2:$K$121,0.95)-PERCENTILE(Indicators!$K$2:$K$121,0.05))*10))</f>
        <v>0.43681295788731567</v>
      </c>
    </row>
    <row r="112" spans="5:14" s="22" customFormat="1" x14ac:dyDescent="0.35">
      <c r="E112" s="38">
        <v>45108</v>
      </c>
      <c r="F112" s="24">
        <f>MAX(0,MIN(10,(PERCENTILE(Indicators!$K$2:$K$121,0.95)-Table1[[#This Row],[Net FII (cr)]])/(PERCENTILE(Indicators!$K$2:$K$121,0.95)-PERCENTILE(Indicators!$K$2:$K$121,0.05))*10))</f>
        <v>0</v>
      </c>
      <c r="G112" s="24">
        <f>MAX(0,MIN(10,(Indicators!C113-PERCENTILE(Indicators!$C:$C,0.05))/(PERCENTILE(Indicators!$C:$C,0.95)-PERCENTILE(Indicators!$C:$C,0.05))*10))</f>
        <v>9.6934183670889862</v>
      </c>
      <c r="H112" s="37">
        <f>MAX(0,MIN(10,(Indicators!D113-PERCENTILE(Indicators!$D:$D,0.05))/(PERCENTILE(Indicators!$D:$D,0.95)-PERCENTILE(Indicators!$D:$D,0.05))*10))</f>
        <v>6.25</v>
      </c>
      <c r="I112" s="24">
        <f>MAX(0,MIN(10,(Table1[[#This Row],[INDIA VIX]]-PERCENTILE(Indicators!$E$2:$E$121,0.05))/(PERCENTILE(Indicators!$E$2:$E$121,0.95)-PERCENTILE(Indicators!$E$2:$E$121,0.05))*10))</f>
        <v>0</v>
      </c>
      <c r="J112" s="24">
        <f>MAX(0,MIN(10,(Indicators!G113-PERCENTILE(Indicators!$G:$G,0.05))/(PERCENTILE(Indicators!$G:$G,0.95)-PERCENTILE(Indicators!$G:$G,0.05))*10))</f>
        <v>1.1767766542426275</v>
      </c>
      <c r="K112" s="24">
        <f>MAX(0,MIN(10,(Indicators!H113-PERCENTILE(Indicators!$H:$H,0.05))/(PERCENTILE(Indicators!$H:$H,0.95)-PERCENTILE(Indicators!$H:$H,0.05))*10))</f>
        <v>2.1877619446772871</v>
      </c>
      <c r="L112" s="24">
        <f>MAX(0,MIN(10,(Indicators!I113-PERCENTILE(Indicators!$I:$I,0.05))/(PERCENTILE(Indicators!$I:$I,0.95)-PERCENTILE(Indicators!$I:$I,0.05))*10))</f>
        <v>4.7043070743137694</v>
      </c>
      <c r="M112" s="24">
        <f>MAX(0,MIN(10,(Indicators!J113-PERCENTILE(Indicators!$J:$J,0.05))/(PERCENTILE(Indicators!$J:$J,0.95)-PERCENTILE(Indicators!$J:$J,0.05))*10))</f>
        <v>9.3201203436617988</v>
      </c>
      <c r="N112" s="24">
        <f>MAX(0,MIN(10,(PERCENTILE(Indicators!$K$2:$K$121,0.95)-Table1[[#This Row],[Net FII (cr)]])/(PERCENTILE(Indicators!$K$2:$K$121,0.95)-PERCENTILE(Indicators!$K$2:$K$121,0.05))*10))</f>
        <v>0</v>
      </c>
    </row>
    <row r="113" spans="5:14" s="22" customFormat="1" x14ac:dyDescent="0.35">
      <c r="E113" s="38">
        <v>45139</v>
      </c>
      <c r="F113" s="24">
        <f>MAX(0,MIN(10,(PERCENTILE(Indicators!$K$2:$K$121,0.95)-Table1[[#This Row],[Net FII (cr)]])/(PERCENTILE(Indicators!$K$2:$K$121,0.95)-PERCENTILE(Indicators!$K$2:$K$121,0.05))*10))</f>
        <v>0.47656315100794233</v>
      </c>
      <c r="G113" s="24">
        <f>MAX(0,MIN(10,(Indicators!C114-PERCENTILE(Indicators!$C:$C,0.05))/(PERCENTILE(Indicators!$C:$C,0.95)-PERCENTILE(Indicators!$C:$C,0.05))*10))</f>
        <v>8.4783755624057129</v>
      </c>
      <c r="H113" s="37">
        <f>MAX(0,MIN(10,(Indicators!D114-PERCENTILE(Indicators!$D:$D,0.05))/(PERCENTILE(Indicators!$D:$D,0.95)-PERCENTILE(Indicators!$D:$D,0.05))*10))</f>
        <v>6.25</v>
      </c>
      <c r="I113" s="24">
        <f>MAX(0,MIN(10,(Table1[[#This Row],[INDIA VIX]]-PERCENTILE(Indicators!$E$2:$E$121,0.05))/(PERCENTILE(Indicators!$E$2:$E$121,0.95)-PERCENTILE(Indicators!$E$2:$E$121,0.05))*10))</f>
        <v>0</v>
      </c>
      <c r="J113" s="24">
        <f>MAX(0,MIN(10,(Indicators!G114-PERCENTILE(Indicators!$G:$G,0.05))/(PERCENTILE(Indicators!$G:$G,0.95)-PERCENTILE(Indicators!$G:$G,0.05))*10))</f>
        <v>1.4990350399541266</v>
      </c>
      <c r="K113" s="24">
        <f>MAX(0,MIN(10,(Indicators!H114-PERCENTILE(Indicators!$H:$H,0.05))/(PERCENTILE(Indicators!$H:$H,0.95)-PERCENTILE(Indicators!$H:$H,0.05))*10))</f>
        <v>1.3495389773679829</v>
      </c>
      <c r="L113" s="24">
        <f>MAX(0,MIN(10,(Indicators!I114-PERCENTILE(Indicators!$I:$I,0.05))/(PERCENTILE(Indicators!$I:$I,0.95)-PERCENTILE(Indicators!$I:$I,0.05))*10))</f>
        <v>5.5523320687346578</v>
      </c>
      <c r="M113" s="24">
        <f>MAX(0,MIN(10,(Indicators!J114-PERCENTILE(Indicators!$J:$J,0.05))/(PERCENTILE(Indicators!$J:$J,0.95)-PERCENTILE(Indicators!$J:$J,0.05))*10))</f>
        <v>5.706708848981112</v>
      </c>
      <c r="N113" s="24">
        <f>MAX(0,MIN(10,(PERCENTILE(Indicators!$K$2:$K$121,0.95)-Table1[[#This Row],[Net FII (cr)]])/(PERCENTILE(Indicators!$K$2:$K$121,0.95)-PERCENTILE(Indicators!$K$2:$K$121,0.05))*10))</f>
        <v>0.47656315100794233</v>
      </c>
    </row>
    <row r="114" spans="5:14" s="22" customFormat="1" x14ac:dyDescent="0.35">
      <c r="E114" s="38">
        <v>45170</v>
      </c>
      <c r="F114" s="24">
        <f>MAX(0,MIN(10,(PERCENTILE(Indicators!$K$2:$K$121,0.95)-Table1[[#This Row],[Net FII (cr)]])/(PERCENTILE(Indicators!$K$2:$K$121,0.95)-PERCENTILE(Indicators!$K$2:$K$121,0.05))*10))</f>
        <v>3.8141154850086592</v>
      </c>
      <c r="G114" s="24">
        <f>MAX(0,MIN(10,(Indicators!C115-PERCENTILE(Indicators!$C:$C,0.05))/(PERCENTILE(Indicators!$C:$C,0.95)-PERCENTILE(Indicators!$C:$C,0.05))*10))</f>
        <v>4.8909446347905092</v>
      </c>
      <c r="H114" s="37">
        <f>MAX(0,MIN(10,(Indicators!D115-PERCENTILE(Indicators!$D:$D,0.05))/(PERCENTILE(Indicators!$D:$D,0.95)-PERCENTILE(Indicators!$D:$D,0.05))*10))</f>
        <v>6.25</v>
      </c>
      <c r="I114" s="24">
        <f>MAX(0,MIN(10,(Table1[[#This Row],[INDIA VIX]]-PERCENTILE(Indicators!$E$2:$E$121,0.05))/(PERCENTILE(Indicators!$E$2:$E$121,0.95)-PERCENTILE(Indicators!$E$2:$E$121,0.05))*10))</f>
        <v>0.20277310860454659</v>
      </c>
      <c r="J114" s="24">
        <f>MAX(0,MIN(10,(Indicators!G115-PERCENTILE(Indicators!$G:$G,0.05))/(PERCENTILE(Indicators!$G:$G,0.95)-PERCENTILE(Indicators!$G:$G,0.05))*10))</f>
        <v>0.41894726561590379</v>
      </c>
      <c r="K114" s="24">
        <f>MAX(0,MIN(10,(Indicators!H115-PERCENTILE(Indicators!$H:$H,0.05))/(PERCENTILE(Indicators!$H:$H,0.95)-PERCENTILE(Indicators!$H:$H,0.05))*10))</f>
        <v>1.5171835708298431</v>
      </c>
      <c r="L114" s="24">
        <f>MAX(0,MIN(10,(Indicators!I115-PERCENTILE(Indicators!$I:$I,0.05))/(PERCENTILE(Indicators!$I:$I,0.95)-PERCENTILE(Indicators!$I:$I,0.05))*10))</f>
        <v>5.1952689131890208</v>
      </c>
      <c r="M114" s="24">
        <f>MAX(0,MIN(10,(Indicators!J115-PERCENTILE(Indicators!$J:$J,0.05))/(PERCENTILE(Indicators!$J:$J,0.95)-PERCENTILE(Indicators!$J:$J,0.05))*10))</f>
        <v>7.1148537576377908</v>
      </c>
      <c r="N114" s="24">
        <f>MAX(0,MIN(10,(PERCENTILE(Indicators!$K$2:$K$121,0.95)-Table1[[#This Row],[Net FII (cr)]])/(PERCENTILE(Indicators!$K$2:$K$121,0.95)-PERCENTILE(Indicators!$K$2:$K$121,0.05))*10))</f>
        <v>3.8141154850086592</v>
      </c>
    </row>
    <row r="115" spans="5:14" s="22" customFormat="1" x14ac:dyDescent="0.35">
      <c r="E115" s="38">
        <v>45200</v>
      </c>
      <c r="F115" s="24">
        <f>MAX(0,MIN(10,(PERCENTILE(Indicators!$K$2:$K$121,0.95)-Table1[[#This Row],[Net FII (cr)]])/(PERCENTILE(Indicators!$K$2:$K$121,0.95)-PERCENTILE(Indicators!$K$2:$K$121,0.05))*10))</f>
        <v>7.4341982284701471</v>
      </c>
      <c r="G115" s="24">
        <f>MAX(0,MIN(10,(Indicators!C116-PERCENTILE(Indicators!$C:$C,0.05))/(PERCENTILE(Indicators!$C:$C,0.95)-PERCENTILE(Indicators!$C:$C,0.05))*10))</f>
        <v>4.5873322760446209</v>
      </c>
      <c r="H115" s="37">
        <f>MAX(0,MIN(10,(Indicators!D116-PERCENTILE(Indicators!$D:$D,0.05))/(PERCENTILE(Indicators!$D:$D,0.95)-PERCENTILE(Indicators!$D:$D,0.05))*10))</f>
        <v>6.25</v>
      </c>
      <c r="I115" s="24">
        <f>MAX(0,MIN(10,(Table1[[#This Row],[INDIA VIX]]-PERCENTILE(Indicators!$E$2:$E$121,0.05))/(PERCENTILE(Indicators!$E$2:$E$121,0.95)-PERCENTILE(Indicators!$E$2:$E$121,0.05))*10))</f>
        <v>0</v>
      </c>
      <c r="J115" s="24">
        <f>MAX(0,MIN(10,(Indicators!G116-PERCENTILE(Indicators!$G:$G,0.05))/(PERCENTILE(Indicators!$G:$G,0.95)-PERCENTILE(Indicators!$G:$G,0.05))*10))</f>
        <v>2.1784968390758634</v>
      </c>
      <c r="K115" s="24">
        <f>MAX(0,MIN(10,(Indicators!H116-PERCENTILE(Indicators!$H:$H,0.05))/(PERCENTILE(Indicators!$H:$H,0.95)-PERCENTILE(Indicators!$H:$H,0.05))*10))</f>
        <v>9.2204526404025988E-2</v>
      </c>
      <c r="L115" s="24">
        <f>MAX(0,MIN(10,(Indicators!I116-PERCENTILE(Indicators!$I:$I,0.05))/(PERCENTILE(Indicators!$I:$I,0.95)-PERCENTILE(Indicators!$I:$I,0.05))*10))</f>
        <v>4.9051550993081907</v>
      </c>
      <c r="M115" s="24">
        <f>MAX(0,MIN(10,(Indicators!J116-PERCENTILE(Indicators!$J:$J,0.05))/(PERCENTILE(Indicators!$J:$J,0.95)-PERCENTILE(Indicators!$J:$J,0.05))*10))</f>
        <v>2.7818616047889346</v>
      </c>
      <c r="N115" s="24">
        <f>MAX(0,MIN(10,(PERCENTILE(Indicators!$K$2:$K$121,0.95)-Table1[[#This Row],[Net FII (cr)]])/(PERCENTILE(Indicators!$K$2:$K$121,0.95)-PERCENTILE(Indicators!$K$2:$K$121,0.05))*10))</f>
        <v>7.4341982284701471</v>
      </c>
    </row>
    <row r="116" spans="5:14" s="22" customFormat="1" x14ac:dyDescent="0.35">
      <c r="E116" s="38">
        <v>45231</v>
      </c>
      <c r="F116" s="24">
        <f>MAX(0,MIN(10,(PERCENTILE(Indicators!$K$2:$K$121,0.95)-Table1[[#This Row],[Net FII (cr)]])/(PERCENTILE(Indicators!$K$2:$K$121,0.95)-PERCENTILE(Indicators!$K$2:$K$121,0.05))*10))</f>
        <v>7.8919447866439354</v>
      </c>
      <c r="G116" s="24">
        <f>MAX(0,MIN(10,(Indicators!C117-PERCENTILE(Indicators!$C:$C,0.05))/(PERCENTILE(Indicators!$C:$C,0.95)-PERCENTILE(Indicators!$C:$C,0.05))*10))</f>
        <v>5.9477993536666274</v>
      </c>
      <c r="H116" s="37">
        <f>MAX(0,MIN(10,(Indicators!D117-PERCENTILE(Indicators!$D:$D,0.05))/(PERCENTILE(Indicators!$D:$D,0.95)-PERCENTILE(Indicators!$D:$D,0.05))*10))</f>
        <v>6.25</v>
      </c>
      <c r="I116" s="24">
        <f>MAX(0,MIN(10,(Table1[[#This Row],[INDIA VIX]]-PERCENTILE(Indicators!$E$2:$E$121,0.05))/(PERCENTILE(Indicators!$E$2:$E$121,0.95)-PERCENTILE(Indicators!$E$2:$E$121,0.05))*10))</f>
        <v>5.8261140731838371E-2</v>
      </c>
      <c r="J116" s="24">
        <f>MAX(0,MIN(10,(Indicators!G117-PERCENTILE(Indicators!$G:$G,0.05))/(PERCENTILE(Indicators!$G:$G,0.95)-PERCENTILE(Indicators!$G:$G,0.05))*10))</f>
        <v>1.7794472413737252</v>
      </c>
      <c r="K116" s="24">
        <f>MAX(0,MIN(10,(Indicators!H117-PERCENTILE(Indicators!$H:$H,0.05))/(PERCENTILE(Indicators!$H:$H,0.95)-PERCENTILE(Indicators!$H:$H,0.05))*10))</f>
        <v>0.93042749371333056</v>
      </c>
      <c r="L116" s="24">
        <f>MAX(0,MIN(10,(Indicators!I117-PERCENTILE(Indicators!$I:$I,0.05))/(PERCENTILE(Indicators!$I:$I,0.95)-PERCENTILE(Indicators!$I:$I,0.05))*10))</f>
        <v>4.5704083909841557</v>
      </c>
      <c r="M116" s="24">
        <f>MAX(0,MIN(10,(Indicators!J117-PERCENTILE(Indicators!$J:$J,0.05))/(PERCENTILE(Indicators!$J:$J,0.95)-PERCENTILE(Indicators!$J:$J,0.05))*10))</f>
        <v>3.6813374274991477</v>
      </c>
      <c r="N116" s="24">
        <f>MAX(0,MIN(10,(PERCENTILE(Indicators!$K$2:$K$121,0.95)-Table1[[#This Row],[Net FII (cr)]])/(PERCENTILE(Indicators!$K$2:$K$121,0.95)-PERCENTILE(Indicators!$K$2:$K$121,0.05))*10))</f>
        <v>7.8919447866439354</v>
      </c>
    </row>
    <row r="117" spans="5:14" s="22" customFormat="1" x14ac:dyDescent="0.35">
      <c r="E117" s="38">
        <v>45261</v>
      </c>
      <c r="F117" s="24">
        <f>MAX(0,MIN(10,(PERCENTILE(Indicators!$K$2:$K$121,0.95)-Table1[[#This Row],[Net FII (cr)]])/(PERCENTILE(Indicators!$K$2:$K$121,0.95)-PERCENTILE(Indicators!$K$2:$K$121,0.05))*10))</f>
        <v>3.1150525986266469</v>
      </c>
      <c r="G117" s="24">
        <f>MAX(0,MIN(10,(Indicators!C118-PERCENTILE(Indicators!$C:$C,0.05))/(PERCENTILE(Indicators!$C:$C,0.95)-PERCENTILE(Indicators!$C:$C,0.05))*10))</f>
        <v>6.223924859583656</v>
      </c>
      <c r="H117" s="37">
        <f>MAX(0,MIN(10,(Indicators!D118-PERCENTILE(Indicators!$D:$D,0.05))/(PERCENTILE(Indicators!$D:$D,0.95)-PERCENTILE(Indicators!$D:$D,0.05))*10))</f>
        <v>6.25</v>
      </c>
      <c r="I117" s="24">
        <f>MAX(0,MIN(10,(Table1[[#This Row],[INDIA VIX]]-PERCENTILE(Indicators!$E$2:$E$121,0.05))/(PERCENTILE(Indicators!$E$2:$E$121,0.95)-PERCENTILE(Indicators!$E$2:$E$121,0.05))*10))</f>
        <v>0.5845889395103322</v>
      </c>
      <c r="J117" s="24">
        <f>MAX(0,MIN(10,(Indicators!G118-PERCENTILE(Indicators!$G:$G,0.05))/(PERCENTILE(Indicators!$G:$G,0.95)-PERCENTILE(Indicators!$G:$G,0.05))*10))</f>
        <v>0.58969798374786198</v>
      </c>
      <c r="K117" s="24">
        <f>MAX(0,MIN(10,(Indicators!H118-PERCENTILE(Indicators!$H:$H,0.05))/(PERCENTILE(Indicators!$H:$H,0.95)-PERCENTILE(Indicators!$H:$H,0.05))*10))</f>
        <v>2.3554065381391478</v>
      </c>
      <c r="L117" s="24">
        <f>MAX(0,MIN(10,(Indicators!I118-PERCENTILE(Indicators!$I:$I,0.05))/(PERCENTILE(Indicators!$I:$I,0.95)-PERCENTILE(Indicators!$I:$I,0.05))*10))</f>
        <v>3.856282079892881</v>
      </c>
      <c r="M117" s="24">
        <f>MAX(0,MIN(10,(Indicators!J118-PERCENTILE(Indicators!$J:$J,0.05))/(PERCENTILE(Indicators!$J:$J,0.95)-PERCENTILE(Indicators!$J:$J,0.05))*10))</f>
        <v>3.7340653205545742</v>
      </c>
      <c r="N117" s="24">
        <f>MAX(0,MIN(10,(PERCENTILE(Indicators!$K$2:$K$121,0.95)-Table1[[#This Row],[Net FII (cr)]])/(PERCENTILE(Indicators!$K$2:$K$121,0.95)-PERCENTILE(Indicators!$K$2:$K$121,0.05))*10))</f>
        <v>3.1150525986266469</v>
      </c>
    </row>
    <row r="118" spans="5:14" s="22" customFormat="1" x14ac:dyDescent="0.35">
      <c r="E118" s="38">
        <v>45292</v>
      </c>
      <c r="F118" s="24">
        <f>MAX(0,MIN(10,(PERCENTILE(Indicators!$K$2:$K$121,0.95)-Table1[[#This Row],[Net FII (cr)]])/(PERCENTILE(Indicators!$K$2:$K$121,0.95)-PERCENTILE(Indicators!$K$2:$K$121,0.05))*10))</f>
        <v>0</v>
      </c>
      <c r="G118" s="24">
        <f>MAX(0,MIN(10,(Indicators!C119-PERCENTILE(Indicators!$C:$C,0.05))/(PERCENTILE(Indicators!$C:$C,0.95)-PERCENTILE(Indicators!$C:$C,0.05))*10))</f>
        <v>5.0481192166313926</v>
      </c>
      <c r="H118" s="37">
        <f>MAX(0,MIN(10,(Indicators!D119-PERCENTILE(Indicators!$D:$D,0.05))/(PERCENTILE(Indicators!$D:$D,0.95)-PERCENTILE(Indicators!$D:$D,0.05))*10))</f>
        <v>6.25</v>
      </c>
      <c r="I118" s="24">
        <f>MAX(0,MIN(10,(Table1[[#This Row],[INDIA VIX]]-PERCENTILE(Indicators!$E$2:$E$121,0.05))/(PERCENTILE(Indicators!$E$2:$E$121,0.95)-PERCENTILE(Indicators!$E$2:$E$121,0.05))*10))</f>
        <v>1.6874434311704705</v>
      </c>
      <c r="J118" s="24">
        <f>MAX(0,MIN(10,(Indicators!G119-PERCENTILE(Indicators!$G:$G,0.05))/(PERCENTILE(Indicators!$G:$G,0.95)-PERCENTILE(Indicators!$G:$G,0.05))*10))</f>
        <v>0.38521779676172785</v>
      </c>
      <c r="K118" s="24">
        <f>MAX(0,MIN(10,(Indicators!H119-PERCENTILE(Indicators!$H:$H,0.05))/(PERCENTILE(Indicators!$H:$H,0.95)-PERCENTILE(Indicators!$H:$H,0.05))*10))</f>
        <v>1.768650461022635</v>
      </c>
      <c r="L118" s="24">
        <f>MAX(0,MIN(10,(Indicators!I119-PERCENTILE(Indicators!$I:$I,0.05))/(PERCENTILE(Indicators!$I:$I,0.95)-PERCENTILE(Indicators!$I:$I,0.05))*10))</f>
        <v>4.0571301048873023</v>
      </c>
      <c r="M118" s="24">
        <f>MAX(0,MIN(10,(Indicators!J119-PERCENTILE(Indicators!$J:$J,0.05))/(PERCENTILE(Indicators!$J:$J,0.95)-PERCENTILE(Indicators!$J:$J,0.05))*10))</f>
        <v>7.0776340684221957</v>
      </c>
      <c r="N118" s="24">
        <f>MAX(0,MIN(10,(PERCENTILE(Indicators!$K$2:$K$121,0.95)-Table1[[#This Row],[Net FII (cr)]])/(PERCENTILE(Indicators!$K$2:$K$121,0.95)-PERCENTILE(Indicators!$K$2:$K$121,0.05))*10))</f>
        <v>0</v>
      </c>
    </row>
    <row r="119" spans="5:14" s="22" customFormat="1" x14ac:dyDescent="0.35">
      <c r="E119" s="38">
        <v>45323</v>
      </c>
      <c r="F119" s="24">
        <f>MAX(0,MIN(10,(PERCENTILE(Indicators!$K$2:$K$121,0.95)-Table1[[#This Row],[Net FII (cr)]])/(PERCENTILE(Indicators!$K$2:$K$121,0.95)-PERCENTILE(Indicators!$K$2:$K$121,0.05))*10))</f>
        <v>6.6215151016951825</v>
      </c>
      <c r="G119" s="24">
        <f>MAX(0,MIN(10,(Indicators!C120-PERCENTILE(Indicators!$C:$C,0.05))/(PERCENTILE(Indicators!$C:$C,0.95)-PERCENTILE(Indicators!$C:$C,0.05))*10))</f>
        <v>5.0309448927485088</v>
      </c>
      <c r="H119" s="37">
        <f>MAX(0,MIN(10,(Indicators!D120-PERCENTILE(Indicators!$D:$D,0.05))/(PERCENTILE(Indicators!$D:$D,0.95)-PERCENTILE(Indicators!$D:$D,0.05))*10))</f>
        <v>6.25</v>
      </c>
      <c r="I119" s="24">
        <f>MAX(0,MIN(10,(Table1[[#This Row],[INDIA VIX]]-PERCENTILE(Indicators!$E$2:$E$121,0.05))/(PERCENTILE(Indicators!$E$2:$E$121,0.95)-PERCENTILE(Indicators!$E$2:$E$121,0.05))*10))</f>
        <v>2.627531811647664</v>
      </c>
      <c r="J119" s="24">
        <f>MAX(0,MIN(10,(Indicators!G120-PERCENTILE(Indicators!$G:$G,0.05))/(PERCENTILE(Indicators!$G:$G,0.95)-PERCENTILE(Indicators!$G:$G,0.05))*10))</f>
        <v>0.19662312088419048</v>
      </c>
      <c r="K119" s="24">
        <f>MAX(0,MIN(10,(Indicators!H120-PERCENTILE(Indicators!$H:$H,0.05))/(PERCENTILE(Indicators!$H:$H,0.95)-PERCENTILE(Indicators!$H:$H,0.05))*10))</f>
        <v>1.9362950544844955</v>
      </c>
      <c r="L119" s="24">
        <f>MAX(0,MIN(10,(Indicators!I120-PERCENTILE(Indicators!$I:$I,0.05))/(PERCENTILE(Indicators!$I:$I,0.95)-PERCENTILE(Indicators!$I:$I,0.05))*10))</f>
        <v>3.7893327382280741</v>
      </c>
      <c r="M119" s="24">
        <f>MAX(0,MIN(10,(Indicators!J120-PERCENTILE(Indicators!$J:$J,0.05))/(PERCENTILE(Indicators!$J:$J,0.95)-PERCENTILE(Indicators!$J:$J,0.05))*10))</f>
        <v>5.272479141465837</v>
      </c>
      <c r="N119" s="24">
        <f>MAX(0,MIN(10,(PERCENTILE(Indicators!$K$2:$K$121,0.95)-Table1[[#This Row],[Net FII (cr)]])/(PERCENTILE(Indicators!$K$2:$K$121,0.95)-PERCENTILE(Indicators!$K$2:$K$121,0.05))*10))</f>
        <v>6.6215151016951825</v>
      </c>
    </row>
    <row r="120" spans="5:14" s="22" customFormat="1" x14ac:dyDescent="0.35">
      <c r="E120" s="38">
        <v>45352</v>
      </c>
      <c r="F120" s="24">
        <f>MAX(0,MIN(10,(PERCENTILE(Indicators!$K$2:$K$121,0.95)-Table1[[#This Row],[Net FII (cr)]])/(PERCENTILE(Indicators!$K$2:$K$121,0.95)-PERCENTILE(Indicators!$K$2:$K$121,0.05))*10))</f>
        <v>2.296288705765241</v>
      </c>
      <c r="G120" s="24">
        <f>MAX(0,MIN(10,(Indicators!C121-PERCENTILE(Indicators!$C:$C,0.05))/(PERCENTILE(Indicators!$C:$C,0.95)-PERCENTILE(Indicators!$C:$C,0.05))*10))</f>
        <v>4.5600732054998714</v>
      </c>
      <c r="H120" s="37">
        <f>MAX(0,MIN(10,(Indicators!D121-PERCENTILE(Indicators!$D:$D,0.05))/(PERCENTILE(Indicators!$D:$D,0.95)-PERCENTILE(Indicators!$D:$D,0.05))*10))</f>
        <v>6.25</v>
      </c>
      <c r="I120" s="24">
        <f>MAX(0,MIN(10,(Table1[[#This Row],[INDIA VIX]]-PERCENTILE(Indicators!$E$2:$E$121,0.05))/(PERCENTILE(Indicators!$E$2:$E$121,0.95)-PERCENTILE(Indicators!$E$2:$E$121,0.05))*10))</f>
        <v>2.3385078759022488</v>
      </c>
      <c r="J120" s="24">
        <f>MAX(0,MIN(10,(Indicators!G121-PERCENTILE(Indicators!$G:$G,0.05))/(PERCENTILE(Indicators!$G:$G,0.95)-PERCENTILE(Indicators!$G:$G,0.05))*10))</f>
        <v>1.4959292062516794</v>
      </c>
      <c r="K120" s="24">
        <f>MAX(0,MIN(10,(Indicators!H121-PERCENTILE(Indicators!$H:$H,0.05))/(PERCENTILE(Indicators!$H:$H,0.95)-PERCENTILE(Indicators!$H:$H,0.05))*10))</f>
        <v>2.1039396479463557</v>
      </c>
      <c r="L120" s="24">
        <f>MAX(0,MIN(10,(Indicators!I121-PERCENTILE(Indicators!$I:$I,0.05))/(PERCENTILE(Indicators!$I:$I,0.95)-PERCENTILE(Indicators!$I:$I,0.05))*10))</f>
        <v>5.5076991742914538</v>
      </c>
      <c r="M120" s="24">
        <f>MAX(0,MIN(10,(Indicators!J121-PERCENTILE(Indicators!$J:$J,0.05))/(PERCENTILE(Indicators!$J:$J,0.95)-PERCENTILE(Indicators!$J:$J,0.05))*10))</f>
        <v>7.1241586799416901</v>
      </c>
      <c r="N120" s="24">
        <f>MAX(0,MIN(10,(PERCENTILE(Indicators!$K$2:$K$121,0.95)-Table1[[#This Row],[Net FII (cr)]])/(PERCENTILE(Indicators!$K$2:$K$121,0.95)-PERCENTILE(Indicators!$K$2:$K$121,0.05))*10))</f>
        <v>2.296288705765241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597C-5ED9-4BB6-A3C1-A336D07B1D40}">
  <dimension ref="A1:H120"/>
  <sheetViews>
    <sheetView topLeftCell="A7" zoomScale="95" zoomScaleNormal="95" workbookViewId="0">
      <selection activeCell="F2" sqref="F2:F120"/>
    </sheetView>
  </sheetViews>
  <sheetFormatPr defaultRowHeight="14.5" x14ac:dyDescent="0.35"/>
  <cols>
    <col min="1" max="1" width="12" style="22" customWidth="1"/>
    <col min="2" max="2" width="14.453125" style="26" customWidth="1"/>
    <col min="3" max="3" width="14.81640625" style="26" customWidth="1"/>
    <col min="4" max="4" width="16" style="26" customWidth="1"/>
    <col min="5" max="5" width="17.1796875" style="26" customWidth="1"/>
    <col min="6" max="6" width="9.81640625" style="22" customWidth="1"/>
    <col min="7" max="16384" width="8.7265625" style="22"/>
  </cols>
  <sheetData>
    <row r="1" spans="1:6" ht="15" thickBot="1" x14ac:dyDescent="0.4">
      <c r="A1" s="18" t="s">
        <v>0</v>
      </c>
      <c r="B1" s="19" t="s">
        <v>39</v>
      </c>
      <c r="C1" s="20" t="s">
        <v>40</v>
      </c>
      <c r="D1" s="20" t="s">
        <v>41</v>
      </c>
      <c r="E1" s="21" t="s">
        <v>42</v>
      </c>
      <c r="F1" s="18" t="s">
        <v>43</v>
      </c>
    </row>
    <row r="2" spans="1:6" x14ac:dyDescent="0.35">
      <c r="A2" s="23">
        <v>41760</v>
      </c>
      <c r="B2" s="24">
        <f>AVERAGE(Table4[[#This Row],[GDP]],Table4[[#This Row],[CPI]],Table4[[#This Row],[REPO RATE]])</f>
        <v>8.610676323824066</v>
      </c>
      <c r="C2" s="24">
        <f>AVERAGE(Table4[[#This Row],[INDIA VIX]],Table4[[#This Row],[GOLD/NIFTY]],Table4[[#This Row],[NIFTY PE RATIO]])</f>
        <v>5.1787778150406458</v>
      </c>
      <c r="D2" s="24">
        <f>AVERAGE(Table4[[#This Row],[USD/INR % CHANGE]],Table4[[#This Row],[OIL % CHANGE]],Table4[[#This Row],[Net FII (cr)]])</f>
        <v>3.7405379250967452</v>
      </c>
      <c r="E2" s="24">
        <f>(B2*0.25)+(C2*0.45)+(D2*0.3)</f>
        <v>5.6052804752533305</v>
      </c>
      <c r="F2" s="25" t="str">
        <f>IF(E2&lt;=5,"Green",IF(E2&lt;=6.5,"Amber","Red"))</f>
        <v>Amber</v>
      </c>
    </row>
    <row r="3" spans="1:6" x14ac:dyDescent="0.35">
      <c r="A3" s="23">
        <v>41791</v>
      </c>
      <c r="B3" s="24">
        <f>AVERAGE(Table4[[#This Row],[GDP]],Table4[[#This Row],[CPI]],Table4[[#This Row],[REPO RATE]])</f>
        <v>7.2553490219108445</v>
      </c>
      <c r="C3" s="24">
        <f>AVERAGE(Table4[[#This Row],[INDIA VIX]],Table4[[#This Row],[GOLD/NIFTY]],Table4[[#This Row],[NIFTY PE RATIO]])</f>
        <v>2.9314140874512264</v>
      </c>
      <c r="D3" s="24">
        <f>AVERAGE(Table4[[#This Row],[USD/INR % CHANGE]],Table4[[#This Row],[OIL % CHANGE]],Table4[[#This Row],[Net FII (cr)]])</f>
        <v>5.267343604240966</v>
      </c>
      <c r="E3" s="24">
        <f t="shared" ref="E3:E66" si="0">(B3*0.25)+(C3*0.45)+(D3*0.3)</f>
        <v>4.7131766761030534</v>
      </c>
      <c r="F3" s="25" t="str">
        <f t="shared" ref="F3:F66" si="1">IF(E3&lt;=5,"Green",IF(E3&lt;=6.5,"Amber","Red"))</f>
        <v>Green</v>
      </c>
    </row>
    <row r="4" spans="1:6" x14ac:dyDescent="0.35">
      <c r="A4" s="23">
        <v>41821</v>
      </c>
      <c r="B4" s="24">
        <f>AVERAGE(Table4[[#This Row],[GDP]],Table4[[#This Row],[CPI]],Table4[[#This Row],[REPO RATE]])</f>
        <v>7.4738358148113946</v>
      </c>
      <c r="C4" s="24">
        <f>AVERAGE(Table4[[#This Row],[INDIA VIX]],Table4[[#This Row],[GOLD/NIFTY]],Table4[[#This Row],[NIFTY PE RATIO]])</f>
        <v>3.0740827477975721</v>
      </c>
      <c r="D4" s="24">
        <f>AVERAGE(Table4[[#This Row],[USD/INR % CHANGE]],Table4[[#This Row],[OIL % CHANGE]],Table4[[#This Row],[Net FII (cr)]])</f>
        <v>4.0881764196776738</v>
      </c>
      <c r="E4" s="24">
        <f t="shared" si="0"/>
        <v>4.4782491161150588</v>
      </c>
      <c r="F4" s="25" t="str">
        <f t="shared" si="1"/>
        <v>Green</v>
      </c>
    </row>
    <row r="5" spans="1:6" x14ac:dyDescent="0.35">
      <c r="A5" s="23">
        <v>41852</v>
      </c>
      <c r="B5" s="24">
        <f>AVERAGE(Table4[[#This Row],[GDP]],Table4[[#This Row],[CPI]],Table4[[#This Row],[REPO RATE]])</f>
        <v>7.2733957475175828</v>
      </c>
      <c r="C5" s="24">
        <f>AVERAGE(Table4[[#This Row],[INDIA VIX]],Table4[[#This Row],[GOLD/NIFTY]],Table4[[#This Row],[NIFTY PE RATIO]])</f>
        <v>2.0471906749799658</v>
      </c>
      <c r="D5" s="24">
        <f>AVERAGE(Table4[[#This Row],[USD/INR % CHANGE]],Table4[[#This Row],[OIL % CHANGE]],Table4[[#This Row],[Net FII (cr)]])</f>
        <v>3.4537659801526157</v>
      </c>
      <c r="E5" s="24">
        <f t="shared" si="0"/>
        <v>3.7757145346661654</v>
      </c>
      <c r="F5" s="25" t="str">
        <f t="shared" si="1"/>
        <v>Green</v>
      </c>
    </row>
    <row r="6" spans="1:6" x14ac:dyDescent="0.35">
      <c r="A6" s="23">
        <v>41883</v>
      </c>
      <c r="B6" s="24">
        <f>AVERAGE(Table4[[#This Row],[GDP]],Table4[[#This Row],[CPI]],Table4[[#This Row],[REPO RATE]])</f>
        <v>6.6528628737260549</v>
      </c>
      <c r="C6" s="24">
        <f>AVERAGE(Table4[[#This Row],[INDIA VIX]],Table4[[#This Row],[GOLD/NIFTY]],Table4[[#This Row],[NIFTY PE RATIO]])</f>
        <v>1.6345848525815241</v>
      </c>
      <c r="D6" s="24">
        <f>AVERAGE(Table4[[#This Row],[USD/INR % CHANGE]],Table4[[#This Row],[OIL % CHANGE]],Table4[[#This Row],[Net FII (cr)]])</f>
        <v>5.2022759476733036</v>
      </c>
      <c r="E6" s="24">
        <f t="shared" si="0"/>
        <v>3.9594616863951906</v>
      </c>
      <c r="F6" s="25" t="str">
        <f t="shared" si="1"/>
        <v>Green</v>
      </c>
    </row>
    <row r="7" spans="1:6" x14ac:dyDescent="0.35">
      <c r="A7" s="23">
        <v>41913</v>
      </c>
      <c r="B7" s="24">
        <f>AVERAGE(Table4[[#This Row],[GDP]],Table4[[#This Row],[CPI]],Table4[[#This Row],[REPO RATE]])</f>
        <v>5.9653703247040317</v>
      </c>
      <c r="C7" s="24">
        <f>AVERAGE(Table4[[#This Row],[INDIA VIX]],Table4[[#This Row],[GOLD/NIFTY]],Table4[[#This Row],[NIFTY PE RATIO]])</f>
        <v>1.3494520428824301</v>
      </c>
      <c r="D7" s="24">
        <f>AVERAGE(Table4[[#This Row],[USD/INR % CHANGE]],Table4[[#This Row],[OIL % CHANGE]],Table4[[#This Row],[Net FII (cr)]])</f>
        <v>2.7256957814079179</v>
      </c>
      <c r="E7" s="24">
        <f t="shared" si="0"/>
        <v>2.9163047348954767</v>
      </c>
      <c r="F7" s="25" t="str">
        <f t="shared" si="1"/>
        <v>Green</v>
      </c>
    </row>
    <row r="8" spans="1:6" x14ac:dyDescent="0.35">
      <c r="A8" s="23">
        <v>41944</v>
      </c>
      <c r="B8" s="24">
        <f>AVERAGE(Table4[[#This Row],[GDP]],Table4[[#This Row],[CPI]],Table4[[#This Row],[REPO RATE]])</f>
        <v>5.0592418870198559</v>
      </c>
      <c r="C8" s="24">
        <f>AVERAGE(Table4[[#This Row],[INDIA VIX]],Table4[[#This Row],[GOLD/NIFTY]],Table4[[#This Row],[NIFTY PE RATIO]])</f>
        <v>1.4103021412247367</v>
      </c>
      <c r="D8" s="24">
        <f>AVERAGE(Table4[[#This Row],[USD/INR % CHANGE]],Table4[[#This Row],[OIL % CHANGE]],Table4[[#This Row],[Net FII (cr)]])</f>
        <v>3.74045513446119</v>
      </c>
      <c r="E8" s="24">
        <f t="shared" si="0"/>
        <v>3.0215829756444523</v>
      </c>
      <c r="F8" s="25" t="str">
        <f t="shared" si="1"/>
        <v>Green</v>
      </c>
    </row>
    <row r="9" spans="1:6" x14ac:dyDescent="0.35">
      <c r="A9" s="23">
        <v>41974</v>
      </c>
      <c r="B9" s="24">
        <f>AVERAGE(Table4[[#This Row],[GDP]],Table4[[#This Row],[CPI]],Table4[[#This Row],[REPO RATE]])</f>
        <v>5.3952411436261487</v>
      </c>
      <c r="C9" s="24">
        <f>AVERAGE(Table4[[#This Row],[INDIA VIX]],Table4[[#This Row],[GOLD/NIFTY]],Table4[[#This Row],[NIFTY PE RATIO]])</f>
        <v>1.5158399985443642</v>
      </c>
      <c r="D9" s="24">
        <f>AVERAGE(Table4[[#This Row],[USD/INR % CHANGE]],Table4[[#This Row],[OIL % CHANGE]],Table4[[#This Row],[Net FII (cr)]])</f>
        <v>3.4343351418287011</v>
      </c>
      <c r="E9" s="24">
        <f t="shared" si="0"/>
        <v>3.0612388278001115</v>
      </c>
      <c r="F9" s="25" t="str">
        <f t="shared" si="1"/>
        <v>Green</v>
      </c>
    </row>
    <row r="10" spans="1:6" x14ac:dyDescent="0.35">
      <c r="A10" s="23">
        <v>42005</v>
      </c>
      <c r="B10" s="24">
        <f>AVERAGE(Table4[[#This Row],[GDP]],Table4[[#This Row],[CPI]],Table4[[#This Row],[REPO RATE]])</f>
        <v>6.6772190075024911</v>
      </c>
      <c r="C10" s="24">
        <f>AVERAGE(Table4[[#This Row],[INDIA VIX]],Table4[[#This Row],[GOLD/NIFTY]],Table4[[#This Row],[NIFTY PE RATIO]])</f>
        <v>2.1684520482784349</v>
      </c>
      <c r="D10" s="24">
        <f>AVERAGE(Table4[[#This Row],[USD/INR % CHANGE]],Table4[[#This Row],[OIL % CHANGE]],Table4[[#This Row],[Net FII (cr)]])</f>
        <v>2.7058220075528028</v>
      </c>
      <c r="E10" s="24">
        <f t="shared" si="0"/>
        <v>3.4568547758667592</v>
      </c>
      <c r="F10" s="25" t="str">
        <f t="shared" si="1"/>
        <v>Green</v>
      </c>
    </row>
    <row r="11" spans="1:6" x14ac:dyDescent="0.35">
      <c r="A11" s="23">
        <v>42036</v>
      </c>
      <c r="B11" s="24">
        <f>AVERAGE(Table4[[#This Row],[GDP]],Table4[[#This Row],[CPI]],Table4[[#This Row],[REPO RATE]])</f>
        <v>5.9596899231521547</v>
      </c>
      <c r="C11" s="24">
        <f>AVERAGE(Table4[[#This Row],[INDIA VIX]],Table4[[#This Row],[GOLD/NIFTY]],Table4[[#This Row],[NIFTY PE RATIO]])</f>
        <v>3.173904934698708</v>
      </c>
      <c r="D11" s="24">
        <f>AVERAGE(Table4[[#This Row],[USD/INR % CHANGE]],Table4[[#This Row],[OIL % CHANGE]],Table4[[#This Row],[Net FII (cr)]])</f>
        <v>5.0313237045997843</v>
      </c>
      <c r="E11" s="24">
        <f t="shared" si="0"/>
        <v>4.4275768127823927</v>
      </c>
      <c r="F11" s="25" t="str">
        <f t="shared" si="1"/>
        <v>Green</v>
      </c>
    </row>
    <row r="12" spans="1:6" x14ac:dyDescent="0.35">
      <c r="A12" s="23">
        <v>42064</v>
      </c>
      <c r="B12" s="24">
        <f>AVERAGE(Table4[[#This Row],[GDP]],Table4[[#This Row],[CPI]],Table4[[#This Row],[REPO RATE]])</f>
        <v>6.2243372152660905</v>
      </c>
      <c r="C12" s="24">
        <f>AVERAGE(Table4[[#This Row],[INDIA VIX]],Table4[[#This Row],[GOLD/NIFTY]],Table4[[#This Row],[NIFTY PE RATIO]])</f>
        <v>2.4291683337360284</v>
      </c>
      <c r="D12" s="24">
        <f>AVERAGE(Table4[[#This Row],[USD/INR % CHANGE]],Table4[[#This Row],[OIL % CHANGE]],Table4[[#This Row],[Net FII (cr)]])</f>
        <v>3.8345224412625107</v>
      </c>
      <c r="E12" s="24">
        <f t="shared" si="0"/>
        <v>3.7995667863764884</v>
      </c>
      <c r="F12" s="25" t="str">
        <f t="shared" si="1"/>
        <v>Green</v>
      </c>
    </row>
    <row r="13" spans="1:6" x14ac:dyDescent="0.35">
      <c r="A13" s="23">
        <v>42095</v>
      </c>
      <c r="B13" s="24">
        <f>AVERAGE(Table4[[#This Row],[GDP]],Table4[[#This Row],[CPI]],Table4[[#This Row],[REPO RATE]])</f>
        <v>5.6264457075318859</v>
      </c>
      <c r="C13" s="24">
        <f>AVERAGE(Table4[[#This Row],[INDIA VIX]],Table4[[#This Row],[GOLD/NIFTY]],Table4[[#This Row],[NIFTY PE RATIO]])</f>
        <v>2.2467656913689669</v>
      </c>
      <c r="D13" s="24">
        <f>AVERAGE(Table4[[#This Row],[USD/INR % CHANGE]],Table4[[#This Row],[OIL % CHANGE]],Table4[[#This Row],[Net FII (cr)]])</f>
        <v>7.4296357080186217</v>
      </c>
      <c r="E13" s="24">
        <f t="shared" si="0"/>
        <v>4.6465467004045928</v>
      </c>
      <c r="F13" s="25" t="str">
        <f t="shared" si="1"/>
        <v>Green</v>
      </c>
    </row>
    <row r="14" spans="1:6" x14ac:dyDescent="0.35">
      <c r="A14" s="23">
        <v>42125</v>
      </c>
      <c r="B14" s="24">
        <f>AVERAGE(Table4[[#This Row],[GDP]],Table4[[#This Row],[CPI]],Table4[[#This Row],[REPO RATE]])</f>
        <v>5.9237263946242065</v>
      </c>
      <c r="C14" s="24">
        <f>AVERAGE(Table4[[#This Row],[INDIA VIX]],Table4[[#This Row],[GOLD/NIFTY]],Table4[[#This Row],[NIFTY PE RATIO]])</f>
        <v>2.8305536292809204</v>
      </c>
      <c r="D14" s="24">
        <f>AVERAGE(Table4[[#This Row],[USD/INR % CHANGE]],Table4[[#This Row],[OIL % CHANGE]],Table4[[#This Row],[Net FII (cr)]])</f>
        <v>4.6034719181695145</v>
      </c>
      <c r="E14" s="24">
        <f t="shared" si="0"/>
        <v>4.13572230728332</v>
      </c>
      <c r="F14" s="25" t="str">
        <f t="shared" si="1"/>
        <v>Green</v>
      </c>
    </row>
    <row r="15" spans="1:6" x14ac:dyDescent="0.35">
      <c r="A15" s="23">
        <v>42156</v>
      </c>
      <c r="B15" s="24">
        <f>AVERAGE(Table4[[#This Row],[GDP]],Table4[[#This Row],[CPI]],Table4[[#This Row],[REPO RATE]])</f>
        <v>7.2928142986476203</v>
      </c>
      <c r="C15" s="24">
        <f>AVERAGE(Table4[[#This Row],[INDIA VIX]],Table4[[#This Row],[GOLD/NIFTY]],Table4[[#This Row],[NIFTY PE RATIO]])</f>
        <v>2.6831111178257268</v>
      </c>
      <c r="D15" s="24">
        <f>AVERAGE(Table4[[#This Row],[USD/INR % CHANGE]],Table4[[#This Row],[OIL % CHANGE]],Table4[[#This Row],[Net FII (cr)]])</f>
        <v>5.1864053323671824</v>
      </c>
      <c r="E15" s="24">
        <f t="shared" si="0"/>
        <v>4.5865251773936366</v>
      </c>
      <c r="F15" s="25" t="str">
        <f t="shared" si="1"/>
        <v>Green</v>
      </c>
    </row>
    <row r="16" spans="1:6" x14ac:dyDescent="0.35">
      <c r="A16" s="23">
        <v>42186</v>
      </c>
      <c r="B16" s="24">
        <f>AVERAGE(Table4[[#This Row],[GDP]],Table4[[#This Row],[CPI]],Table4[[#This Row],[REPO RATE]])</f>
        <v>5.4795529018206075</v>
      </c>
      <c r="C16" s="24">
        <f>AVERAGE(Table4[[#This Row],[INDIA VIX]],Table4[[#This Row],[GOLD/NIFTY]],Table4[[#This Row],[NIFTY PE RATIO]])</f>
        <v>2.3384280250618956</v>
      </c>
      <c r="D16" s="24">
        <f>AVERAGE(Table4[[#This Row],[USD/INR % CHANGE]],Table4[[#This Row],[OIL % CHANGE]],Table4[[#This Row],[Net FII (cr)]])</f>
        <v>3.9005518524449401</v>
      </c>
      <c r="E16" s="24">
        <f t="shared" si="0"/>
        <v>3.5923463924664869</v>
      </c>
      <c r="F16" s="25" t="str">
        <f t="shared" si="1"/>
        <v>Green</v>
      </c>
    </row>
    <row r="17" spans="1:6" x14ac:dyDescent="0.35">
      <c r="A17" s="23">
        <v>42217</v>
      </c>
      <c r="B17" s="24">
        <f>AVERAGE(Table4[[#This Row],[GDP]],Table4[[#This Row],[CPI]],Table4[[#This Row],[REPO RATE]])</f>
        <v>5.2520985214769542</v>
      </c>
      <c r="C17" s="24">
        <f>AVERAGE(Table4[[#This Row],[INDIA VIX]],Table4[[#This Row],[GOLD/NIFTY]],Table4[[#This Row],[NIFTY PE RATIO]])</f>
        <v>2.3208945009941035</v>
      </c>
      <c r="D17" s="24">
        <f>AVERAGE(Table4[[#This Row],[USD/INR % CHANGE]],Table4[[#This Row],[OIL % CHANGE]],Table4[[#This Row],[Net FII (cr)]])</f>
        <v>7.2446323308938032</v>
      </c>
      <c r="E17" s="24">
        <f t="shared" si="0"/>
        <v>4.5308168550847263</v>
      </c>
      <c r="F17" s="25" t="str">
        <f t="shared" si="1"/>
        <v>Green</v>
      </c>
    </row>
    <row r="18" spans="1:6" x14ac:dyDescent="0.35">
      <c r="A18" s="23">
        <v>42248</v>
      </c>
      <c r="B18" s="24">
        <f>AVERAGE(Table4[[#This Row],[GDP]],Table4[[#This Row],[CPI]],Table4[[#This Row],[REPO RATE]])</f>
        <v>6.554521625959679</v>
      </c>
      <c r="C18" s="24">
        <f>AVERAGE(Table4[[#This Row],[INDIA VIX]],Table4[[#This Row],[GOLD/NIFTY]],Table4[[#This Row],[NIFTY PE RATIO]])</f>
        <v>4.2125507665381257</v>
      </c>
      <c r="D18" s="24">
        <f>AVERAGE(Table4[[#This Row],[USD/INR % CHANGE]],Table4[[#This Row],[OIL % CHANGE]],Table4[[#This Row],[Net FII (cr)]])</f>
        <v>3.6635260633739235</v>
      </c>
      <c r="E18" s="24">
        <f t="shared" si="0"/>
        <v>4.633336070444253</v>
      </c>
      <c r="F18" s="25" t="str">
        <f t="shared" si="1"/>
        <v>Green</v>
      </c>
    </row>
    <row r="19" spans="1:6" x14ac:dyDescent="0.35">
      <c r="A19" s="23">
        <v>42278</v>
      </c>
      <c r="B19" s="24">
        <f>AVERAGE(Table4[[#This Row],[GDP]],Table4[[#This Row],[CPI]],Table4[[#This Row],[REPO RATE]])</f>
        <v>6.0829348711400826</v>
      </c>
      <c r="C19" s="24">
        <f>AVERAGE(Table4[[#This Row],[INDIA VIX]],Table4[[#This Row],[GOLD/NIFTY]],Table4[[#This Row],[NIFTY PE RATIO]])</f>
        <v>3.2227418923713125</v>
      </c>
      <c r="D19" s="24">
        <f>AVERAGE(Table4[[#This Row],[USD/INR % CHANGE]],Table4[[#This Row],[OIL % CHANGE]],Table4[[#This Row],[Net FII (cr)]])</f>
        <v>5.5053654137135153</v>
      </c>
      <c r="E19" s="24">
        <f t="shared" si="0"/>
        <v>4.6225771934661655</v>
      </c>
      <c r="F19" s="25" t="str">
        <f t="shared" si="1"/>
        <v>Green</v>
      </c>
    </row>
    <row r="20" spans="1:6" x14ac:dyDescent="0.35">
      <c r="A20" s="23">
        <v>42309</v>
      </c>
      <c r="B20" s="24">
        <f>AVERAGE(Table4[[#This Row],[GDP]],Table4[[#This Row],[CPI]],Table4[[#This Row],[REPO RATE]])</f>
        <v>5.3021745078546454</v>
      </c>
      <c r="C20" s="24">
        <f>AVERAGE(Table4[[#This Row],[INDIA VIX]],Table4[[#This Row],[GOLD/NIFTY]],Table4[[#This Row],[NIFTY PE RATIO]])</f>
        <v>2.4674674920848152</v>
      </c>
      <c r="D20" s="24">
        <f>AVERAGE(Table4[[#This Row],[USD/INR % CHANGE]],Table4[[#This Row],[OIL % CHANGE]],Table4[[#This Row],[Net FII (cr)]])</f>
        <v>4.4282079580225124</v>
      </c>
      <c r="E20" s="24">
        <f t="shared" si="0"/>
        <v>3.7643663858085823</v>
      </c>
      <c r="F20" s="25" t="str">
        <f t="shared" si="1"/>
        <v>Green</v>
      </c>
    </row>
    <row r="21" spans="1:6" x14ac:dyDescent="0.35">
      <c r="A21" s="23">
        <v>42339</v>
      </c>
      <c r="B21" s="24">
        <f>AVERAGE(Table4[[#This Row],[GDP]],Table4[[#This Row],[CPI]],Table4[[#This Row],[REPO RATE]])</f>
        <v>6.6794264588307</v>
      </c>
      <c r="C21" s="24">
        <f>AVERAGE(Table4[[#This Row],[INDIA VIX]],Table4[[#This Row],[GOLD/NIFTY]],Table4[[#This Row],[NIFTY PE RATIO]])</f>
        <v>2.1113859656004874</v>
      </c>
      <c r="D21" s="24">
        <f>AVERAGE(Table4[[#This Row],[USD/INR % CHANGE]],Table4[[#This Row],[OIL % CHANGE]],Table4[[#This Row],[Net FII (cr)]])</f>
        <v>3.5206618668314884</v>
      </c>
      <c r="E21" s="24">
        <f t="shared" si="0"/>
        <v>3.676178859277341</v>
      </c>
      <c r="F21" s="25" t="str">
        <f t="shared" si="1"/>
        <v>Green</v>
      </c>
    </row>
    <row r="22" spans="1:6" x14ac:dyDescent="0.35">
      <c r="A22" s="23">
        <v>42370</v>
      </c>
      <c r="B22" s="24">
        <f>AVERAGE(Table4[[#This Row],[GDP]],Table4[[#This Row],[CPI]],Table4[[#This Row],[REPO RATE]])</f>
        <v>6.6370596953222929</v>
      </c>
      <c r="C22" s="24">
        <f>AVERAGE(Table4[[#This Row],[INDIA VIX]],Table4[[#This Row],[GOLD/NIFTY]],Table4[[#This Row],[NIFTY PE RATIO]])</f>
        <v>2.1076144151656662</v>
      </c>
      <c r="D22" s="24">
        <f>AVERAGE(Table4[[#This Row],[USD/INR % CHANGE]],Table4[[#This Row],[OIL % CHANGE]],Table4[[#This Row],[Net FII (cr)]])</f>
        <v>6.851862275413473</v>
      </c>
      <c r="E22" s="24">
        <f t="shared" si="0"/>
        <v>4.6632500932791654</v>
      </c>
      <c r="F22" s="25" t="str">
        <f t="shared" si="1"/>
        <v>Green</v>
      </c>
    </row>
    <row r="23" spans="1:6" x14ac:dyDescent="0.35">
      <c r="A23" s="23">
        <v>42401</v>
      </c>
      <c r="B23" s="24">
        <f>AVERAGE(Table4[[#This Row],[GDP]],Table4[[#This Row],[CPI]],Table4[[#This Row],[REPO RATE]])</f>
        <v>6.3734253767248639</v>
      </c>
      <c r="C23" s="24">
        <f>AVERAGE(Table4[[#This Row],[INDIA VIX]],Table4[[#This Row],[GOLD/NIFTY]],Table4[[#This Row],[NIFTY PE RATIO]])</f>
        <v>4.2057136390661487</v>
      </c>
      <c r="D23" s="24">
        <f>AVERAGE(Table4[[#This Row],[USD/INR % CHANGE]],Table4[[#This Row],[OIL % CHANGE]],Table4[[#This Row],[Net FII (cr)]])</f>
        <v>5.9883785411851953</v>
      </c>
      <c r="E23" s="24">
        <f t="shared" si="0"/>
        <v>5.2824410441165419</v>
      </c>
      <c r="F23" s="25" t="str">
        <f t="shared" si="1"/>
        <v>Amber</v>
      </c>
    </row>
    <row r="24" spans="1:6" x14ac:dyDescent="0.35">
      <c r="A24" s="23">
        <v>42430</v>
      </c>
      <c r="B24" s="24">
        <f>AVERAGE(Table4[[#This Row],[GDP]],Table4[[#This Row],[CPI]],Table4[[#This Row],[REPO RATE]])</f>
        <v>6.2677148238219056</v>
      </c>
      <c r="C24" s="24">
        <f>AVERAGE(Table4[[#This Row],[INDIA VIX]],Table4[[#This Row],[GOLD/NIFTY]],Table4[[#This Row],[NIFTY PE RATIO]])</f>
        <v>3.9159043520033023</v>
      </c>
      <c r="D24" s="24">
        <f>AVERAGE(Table4[[#This Row],[USD/INR % CHANGE]],Table4[[#This Row],[OIL % CHANGE]],Table4[[#This Row],[Net FII (cr)]])</f>
        <v>5.2700465545708397</v>
      </c>
      <c r="E24" s="24">
        <f t="shared" si="0"/>
        <v>4.9100996307282143</v>
      </c>
      <c r="F24" s="25" t="str">
        <f t="shared" si="1"/>
        <v>Green</v>
      </c>
    </row>
    <row r="25" spans="1:6" x14ac:dyDescent="0.35">
      <c r="A25" s="23">
        <v>42461</v>
      </c>
      <c r="B25" s="24">
        <f>AVERAGE(Table4[[#This Row],[GDP]],Table4[[#This Row],[CPI]],Table4[[#This Row],[REPO RATE]])</f>
        <v>5.4400488759073724</v>
      </c>
      <c r="C25" s="24">
        <f>AVERAGE(Table4[[#This Row],[INDIA VIX]],Table4[[#This Row],[GOLD/NIFTY]],Table4[[#This Row],[NIFTY PE RATIO]])</f>
        <v>3.5116779499887225</v>
      </c>
      <c r="D25" s="24">
        <f>AVERAGE(Table4[[#This Row],[USD/INR % CHANGE]],Table4[[#This Row],[OIL % CHANGE]],Table4[[#This Row],[Net FII (cr)]])</f>
        <v>6.1750694978794378</v>
      </c>
      <c r="E25" s="24">
        <f t="shared" si="0"/>
        <v>4.7927881458355994</v>
      </c>
      <c r="F25" s="25" t="str">
        <f t="shared" si="1"/>
        <v>Green</v>
      </c>
    </row>
    <row r="26" spans="1:6" x14ac:dyDescent="0.35">
      <c r="A26" s="23">
        <v>42491</v>
      </c>
      <c r="B26" s="24">
        <f>AVERAGE(Table4[[#This Row],[GDP]],Table4[[#This Row],[CPI]],Table4[[#This Row],[REPO RATE]])</f>
        <v>5.6039548632521621</v>
      </c>
      <c r="C26" s="24">
        <f>AVERAGE(Table4[[#This Row],[INDIA VIX]],Table4[[#This Row],[GOLD/NIFTY]],Table4[[#This Row],[NIFTY PE RATIO]])</f>
        <v>3.2721987480213297</v>
      </c>
      <c r="D26" s="24">
        <f>AVERAGE(Table4[[#This Row],[USD/INR % CHANGE]],Table4[[#This Row],[OIL % CHANGE]],Table4[[#This Row],[Net FII (cr)]])</f>
        <v>5.9976222315990526</v>
      </c>
      <c r="E26" s="24">
        <f t="shared" si="0"/>
        <v>4.672764821902355</v>
      </c>
      <c r="F26" s="25" t="str">
        <f t="shared" si="1"/>
        <v>Green</v>
      </c>
    </row>
    <row r="27" spans="1:6" x14ac:dyDescent="0.35">
      <c r="A27" s="23">
        <v>42522</v>
      </c>
      <c r="B27" s="24">
        <f>AVERAGE(Table4[[#This Row],[GDP]],Table4[[#This Row],[CPI]],Table4[[#This Row],[REPO RATE]])</f>
        <v>6.2412391342807574</v>
      </c>
      <c r="C27" s="24">
        <f>AVERAGE(Table4[[#This Row],[INDIA VIX]],Table4[[#This Row],[GOLD/NIFTY]],Table4[[#This Row],[NIFTY PE RATIO]])</f>
        <v>3.7354971007338906</v>
      </c>
      <c r="D27" s="24">
        <f>AVERAGE(Table4[[#This Row],[USD/INR % CHANGE]],Table4[[#This Row],[OIL % CHANGE]],Table4[[#This Row],[Net FII (cr)]])</f>
        <v>5.4867502866051554</v>
      </c>
      <c r="E27" s="24">
        <f t="shared" si="0"/>
        <v>4.8873085648819874</v>
      </c>
      <c r="F27" s="25" t="str">
        <f t="shared" si="1"/>
        <v>Green</v>
      </c>
    </row>
    <row r="28" spans="1:6" x14ac:dyDescent="0.35">
      <c r="A28" s="23">
        <v>42552</v>
      </c>
      <c r="B28" s="24">
        <f>AVERAGE(Table4[[#This Row],[GDP]],Table4[[#This Row],[CPI]],Table4[[#This Row],[REPO RATE]])</f>
        <v>6.460844906152432</v>
      </c>
      <c r="C28" s="24">
        <f>AVERAGE(Table4[[#This Row],[INDIA VIX]],Table4[[#This Row],[GOLD/NIFTY]],Table4[[#This Row],[NIFTY PE RATIO]])</f>
        <v>3.8109234159392975</v>
      </c>
      <c r="D28" s="24">
        <f>AVERAGE(Table4[[#This Row],[USD/INR % CHANGE]],Table4[[#This Row],[OIL % CHANGE]],Table4[[#This Row],[Net FII (cr)]])</f>
        <v>2.9834032898556226</v>
      </c>
      <c r="E28" s="24">
        <f t="shared" si="0"/>
        <v>4.2251477506674782</v>
      </c>
      <c r="F28" s="25" t="str">
        <f t="shared" si="1"/>
        <v>Green</v>
      </c>
    </row>
    <row r="29" spans="1:6" x14ac:dyDescent="0.35">
      <c r="A29" s="23">
        <v>42583</v>
      </c>
      <c r="B29" s="24">
        <f>AVERAGE(Table4[[#This Row],[GDP]],Table4[[#This Row],[CPI]],Table4[[#This Row],[REPO RATE]])</f>
        <v>4.961579630457277</v>
      </c>
      <c r="C29" s="24">
        <f>AVERAGE(Table4[[#This Row],[INDIA VIX]],Table4[[#This Row],[GOLD/NIFTY]],Table4[[#This Row],[NIFTY PE RATIO]])</f>
        <v>3.3407850404680395</v>
      </c>
      <c r="D29" s="24">
        <f>AVERAGE(Table4[[#This Row],[USD/INR % CHANGE]],Table4[[#This Row],[OIL % CHANGE]],Table4[[#This Row],[Net FII (cr)]])</f>
        <v>5.5663119044714415</v>
      </c>
      <c r="E29" s="24">
        <f t="shared" si="0"/>
        <v>4.4136417471663698</v>
      </c>
      <c r="F29" s="25" t="str">
        <f t="shared" si="1"/>
        <v>Green</v>
      </c>
    </row>
    <row r="30" spans="1:6" x14ac:dyDescent="0.35">
      <c r="A30" s="23">
        <v>42614</v>
      </c>
      <c r="B30" s="24">
        <f>AVERAGE(Table4[[#This Row],[GDP]],Table4[[#This Row],[CPI]],Table4[[#This Row],[REPO RATE]])</f>
        <v>5.0119506669627611</v>
      </c>
      <c r="C30" s="24">
        <f>AVERAGE(Table4[[#This Row],[INDIA VIX]],Table4[[#This Row],[GOLD/NIFTY]],Table4[[#This Row],[NIFTY PE RATIO]])</f>
        <v>2.9334274744007729</v>
      </c>
      <c r="D30" s="24">
        <f>AVERAGE(Table4[[#This Row],[USD/INR % CHANGE]],Table4[[#This Row],[OIL % CHANGE]],Table4[[#This Row],[Net FII (cr)]])</f>
        <v>5.1513113574753921</v>
      </c>
      <c r="E30" s="24">
        <f t="shared" si="0"/>
        <v>4.1184234374636564</v>
      </c>
      <c r="F30" s="25" t="str">
        <f t="shared" si="1"/>
        <v>Green</v>
      </c>
    </row>
    <row r="31" spans="1:6" x14ac:dyDescent="0.35">
      <c r="A31" s="23">
        <v>42644</v>
      </c>
      <c r="B31" s="24">
        <f>AVERAGE(Table4[[#This Row],[GDP]],Table4[[#This Row],[CPI]],Table4[[#This Row],[REPO RATE]])</f>
        <v>4.3733619667335768</v>
      </c>
      <c r="C31" s="24">
        <f>AVERAGE(Table4[[#This Row],[INDIA VIX]],Table4[[#This Row],[GOLD/NIFTY]],Table4[[#This Row],[NIFTY PE RATIO]])</f>
        <v>3.4689830448121799</v>
      </c>
      <c r="D31" s="24">
        <f>AVERAGE(Table4[[#This Row],[USD/INR % CHANGE]],Table4[[#This Row],[OIL % CHANGE]],Table4[[#This Row],[Net FII (cr)]])</f>
        <v>4.1827906935823211</v>
      </c>
      <c r="E31" s="24">
        <f t="shared" si="0"/>
        <v>3.9092200699235713</v>
      </c>
      <c r="F31" s="25" t="str">
        <f t="shared" si="1"/>
        <v>Green</v>
      </c>
    </row>
    <row r="32" spans="1:6" x14ac:dyDescent="0.35">
      <c r="A32" s="23">
        <v>42675</v>
      </c>
      <c r="B32" s="24">
        <f>AVERAGE(Table4[[#This Row],[GDP]],Table4[[#This Row],[CPI]],Table4[[#This Row],[REPO RATE]])</f>
        <v>4.9345095956696943</v>
      </c>
      <c r="C32" s="24">
        <f>AVERAGE(Table4[[#This Row],[INDIA VIX]],Table4[[#This Row],[GOLD/NIFTY]],Table4[[#This Row],[NIFTY PE RATIO]])</f>
        <v>2.615620380814264</v>
      </c>
      <c r="D32" s="24">
        <f>AVERAGE(Table4[[#This Row],[USD/INR % CHANGE]],Table4[[#This Row],[OIL % CHANGE]],Table4[[#This Row],[Net FII (cr)]])</f>
        <v>8.0990511021639868</v>
      </c>
      <c r="E32" s="24">
        <f t="shared" si="0"/>
        <v>4.8403719009330377</v>
      </c>
      <c r="F32" s="25" t="str">
        <f t="shared" si="1"/>
        <v>Green</v>
      </c>
    </row>
    <row r="33" spans="1:6" x14ac:dyDescent="0.35">
      <c r="A33" s="23">
        <v>42705</v>
      </c>
      <c r="B33" s="24">
        <f>AVERAGE(Table4[[#This Row],[GDP]],Table4[[#This Row],[CPI]],Table4[[#This Row],[REPO RATE]])</f>
        <v>5.7734255850362999</v>
      </c>
      <c r="C33" s="24">
        <f>AVERAGE(Table4[[#This Row],[INDIA VIX]],Table4[[#This Row],[GOLD/NIFTY]],Table4[[#This Row],[NIFTY PE RATIO]])</f>
        <v>2.8149546634284186</v>
      </c>
      <c r="D33" s="24">
        <f>AVERAGE(Table4[[#This Row],[USD/INR % CHANGE]],Table4[[#This Row],[OIL % CHANGE]],Table4[[#This Row],[Net FII (cr)]])</f>
        <v>6.9278977285373911</v>
      </c>
      <c r="E33" s="24">
        <f t="shared" si="0"/>
        <v>4.7884553133630803</v>
      </c>
      <c r="F33" s="25" t="str">
        <f t="shared" si="1"/>
        <v>Green</v>
      </c>
    </row>
    <row r="34" spans="1:6" x14ac:dyDescent="0.35">
      <c r="A34" s="23">
        <v>42736</v>
      </c>
      <c r="B34" s="24">
        <f>AVERAGE(Table4[[#This Row],[GDP]],Table4[[#This Row],[CPI]],Table4[[#This Row],[REPO RATE]])</f>
        <v>5.2566498851208188</v>
      </c>
      <c r="C34" s="24">
        <f>AVERAGE(Table4[[#This Row],[INDIA VIX]],Table4[[#This Row],[GOLD/NIFTY]],Table4[[#This Row],[NIFTY PE RATIO]])</f>
        <v>2.8065796565254253</v>
      </c>
      <c r="D34" s="24">
        <f>AVERAGE(Table4[[#This Row],[USD/INR % CHANGE]],Table4[[#This Row],[OIL % CHANGE]],Table4[[#This Row],[Net FII (cr)]])</f>
        <v>5.3025241609174083</v>
      </c>
      <c r="E34" s="24">
        <f t="shared" si="0"/>
        <v>4.1678805649918687</v>
      </c>
      <c r="F34" s="25" t="str">
        <f t="shared" si="1"/>
        <v>Green</v>
      </c>
    </row>
    <row r="35" spans="1:6" x14ac:dyDescent="0.35">
      <c r="A35" s="23">
        <v>42767</v>
      </c>
      <c r="B35" s="24">
        <f>AVERAGE(Table4[[#This Row],[GDP]],Table4[[#This Row],[CPI]],Table4[[#This Row],[REPO RATE]])</f>
        <v>4.6903401224145158</v>
      </c>
      <c r="C35" s="24">
        <f>AVERAGE(Table4[[#This Row],[INDIA VIX]],Table4[[#This Row],[GOLD/NIFTY]],Table4[[#This Row],[NIFTY PE RATIO]])</f>
        <v>3.0471651561894788</v>
      </c>
      <c r="D35" s="24">
        <f>AVERAGE(Table4[[#This Row],[USD/INR % CHANGE]],Table4[[#This Row],[OIL % CHANGE]],Table4[[#This Row],[Net FII (cr)]])</f>
        <v>4.5601241255474312</v>
      </c>
      <c r="E35" s="24">
        <f t="shared" si="0"/>
        <v>3.9118465885531237</v>
      </c>
      <c r="F35" s="25" t="str">
        <f t="shared" si="1"/>
        <v>Green</v>
      </c>
    </row>
    <row r="36" spans="1:6" x14ac:dyDescent="0.35">
      <c r="A36" s="23">
        <v>42795</v>
      </c>
      <c r="B36" s="24">
        <f>AVERAGE(Table4[[#This Row],[GDP]],Table4[[#This Row],[CPI]],Table4[[#This Row],[REPO RATE]])</f>
        <v>4.1212593886409046</v>
      </c>
      <c r="C36" s="24">
        <f>AVERAGE(Table4[[#This Row],[INDIA VIX]],Table4[[#This Row],[GOLD/NIFTY]],Table4[[#This Row],[NIFTY PE RATIO]])</f>
        <v>2.0882286606532365</v>
      </c>
      <c r="D36" s="24">
        <f>AVERAGE(Table4[[#This Row],[USD/INR % CHANGE]],Table4[[#This Row],[OIL % CHANGE]],Table4[[#This Row],[Net FII (cr)]])</f>
        <v>2.5521349830221225</v>
      </c>
      <c r="E36" s="24">
        <f t="shared" si="0"/>
        <v>2.7356582393608195</v>
      </c>
      <c r="F36" s="25" t="str">
        <f t="shared" si="1"/>
        <v>Green</v>
      </c>
    </row>
    <row r="37" spans="1:6" x14ac:dyDescent="0.35">
      <c r="A37" s="23">
        <v>42826</v>
      </c>
      <c r="B37" s="24">
        <f>AVERAGE(Table4[[#This Row],[GDP]],Table4[[#This Row],[CPI]],Table4[[#This Row],[REPO RATE]])</f>
        <v>2.1589499735860538</v>
      </c>
      <c r="C37" s="24">
        <f>AVERAGE(Table4[[#This Row],[INDIA VIX]],Table4[[#This Row],[GOLD/NIFTY]],Table4[[#This Row],[NIFTY PE RATIO]])</f>
        <v>1.8353483890613038</v>
      </c>
      <c r="D37" s="24">
        <f>AVERAGE(Table4[[#This Row],[USD/INR % CHANGE]],Table4[[#This Row],[OIL % CHANGE]],Table4[[#This Row],[Net FII (cr)]])</f>
        <v>2.2194780442260935</v>
      </c>
      <c r="E37" s="24">
        <f t="shared" si="0"/>
        <v>2.0314876817419281</v>
      </c>
      <c r="F37" s="25" t="str">
        <f t="shared" si="1"/>
        <v>Green</v>
      </c>
    </row>
    <row r="38" spans="1:6" x14ac:dyDescent="0.35">
      <c r="A38" s="23">
        <v>42856</v>
      </c>
      <c r="B38" s="24">
        <f>AVERAGE(Table4[[#This Row],[GDP]],Table4[[#This Row],[CPI]],Table4[[#This Row],[REPO RATE]])</f>
        <v>2.9804645067184956</v>
      </c>
      <c r="C38" s="24">
        <f>AVERAGE(Table4[[#This Row],[INDIA VIX]],Table4[[#This Row],[GOLD/NIFTY]],Table4[[#This Row],[NIFTY PE RATIO]])</f>
        <v>1.7723291146645301</v>
      </c>
      <c r="D38" s="24">
        <f>AVERAGE(Table4[[#This Row],[USD/INR % CHANGE]],Table4[[#This Row],[OIL % CHANGE]],Table4[[#This Row],[Net FII (cr)]])</f>
        <v>4.2911819814195722</v>
      </c>
      <c r="E38" s="24">
        <f t="shared" si="0"/>
        <v>2.8300188227045338</v>
      </c>
      <c r="F38" s="25" t="str">
        <f t="shared" si="1"/>
        <v>Green</v>
      </c>
    </row>
    <row r="39" spans="1:6" x14ac:dyDescent="0.35">
      <c r="A39" s="23">
        <v>42887</v>
      </c>
      <c r="B39" s="24">
        <f>AVERAGE(Table4[[#This Row],[GDP]],Table4[[#This Row],[CPI]],Table4[[#This Row],[REPO RATE]])</f>
        <v>2.8262682901561402</v>
      </c>
      <c r="C39" s="24">
        <f>AVERAGE(Table4[[#This Row],[INDIA VIX]],Table4[[#This Row],[GOLD/NIFTY]],Table4[[#This Row],[NIFTY PE RATIO]])</f>
        <v>1.6397681290794466</v>
      </c>
      <c r="D39" s="24">
        <f>AVERAGE(Table4[[#This Row],[USD/INR % CHANGE]],Table4[[#This Row],[OIL % CHANGE]],Table4[[#This Row],[Net FII (cr)]])</f>
        <v>3.839330693184154</v>
      </c>
      <c r="E39" s="24">
        <f t="shared" si="0"/>
        <v>2.5962619385800325</v>
      </c>
      <c r="F39" s="25" t="str">
        <f t="shared" si="1"/>
        <v>Green</v>
      </c>
    </row>
    <row r="40" spans="1:6" x14ac:dyDescent="0.35">
      <c r="A40" s="23">
        <v>42917</v>
      </c>
      <c r="B40" s="24">
        <f>AVERAGE(Table4[[#This Row],[GDP]],Table4[[#This Row],[CPI]],Table4[[#This Row],[REPO RATE]])</f>
        <v>2.734831585300761</v>
      </c>
      <c r="C40" s="24">
        <f>AVERAGE(Table4[[#This Row],[INDIA VIX]],Table4[[#This Row],[GOLD/NIFTY]],Table4[[#This Row],[NIFTY PE RATIO]])</f>
        <v>1.8284109678564633</v>
      </c>
      <c r="D40" s="24">
        <f>AVERAGE(Table4[[#This Row],[USD/INR % CHANGE]],Table4[[#This Row],[OIL % CHANGE]],Table4[[#This Row],[Net FII (cr)]])</f>
        <v>4.3508799023413207</v>
      </c>
      <c r="E40" s="24">
        <f t="shared" si="0"/>
        <v>2.8117568025629947</v>
      </c>
      <c r="F40" s="25" t="str">
        <f t="shared" si="1"/>
        <v>Green</v>
      </c>
    </row>
    <row r="41" spans="1:6" x14ac:dyDescent="0.35">
      <c r="A41" s="23">
        <v>42948</v>
      </c>
      <c r="B41" s="24">
        <f>AVERAGE(Table4[[#This Row],[GDP]],Table4[[#This Row],[CPI]],Table4[[#This Row],[REPO RATE]])</f>
        <v>3.2035049243334672</v>
      </c>
      <c r="C41" s="24">
        <f>AVERAGE(Table4[[#This Row],[INDIA VIX]],Table4[[#This Row],[GOLD/NIFTY]],Table4[[#This Row],[NIFTY PE RATIO]])</f>
        <v>2.1227253812401199</v>
      </c>
      <c r="D41" s="24">
        <f>AVERAGE(Table4[[#This Row],[USD/INR % CHANGE]],Table4[[#This Row],[OIL % CHANGE]],Table4[[#This Row],[Net FII (cr)]])</f>
        <v>3.9773564837467035</v>
      </c>
      <c r="E41" s="24">
        <f t="shared" si="0"/>
        <v>2.9493095977654318</v>
      </c>
      <c r="F41" s="25" t="str">
        <f t="shared" si="1"/>
        <v>Green</v>
      </c>
    </row>
    <row r="42" spans="1:6" x14ac:dyDescent="0.35">
      <c r="A42" s="23">
        <v>42979</v>
      </c>
      <c r="B42" s="24">
        <f>AVERAGE(Table4[[#This Row],[GDP]],Table4[[#This Row],[CPI]],Table4[[#This Row],[REPO RATE]])</f>
        <v>4.0082430921355083</v>
      </c>
      <c r="C42" s="24">
        <f>AVERAGE(Table4[[#This Row],[INDIA VIX]],Table4[[#This Row],[GOLD/NIFTY]],Table4[[#This Row],[NIFTY PE RATIO]])</f>
        <v>2.1114758596311436</v>
      </c>
      <c r="D42" s="24">
        <f>AVERAGE(Table4[[#This Row],[USD/INR % CHANGE]],Table4[[#This Row],[OIL % CHANGE]],Table4[[#This Row],[Net FII (cr)]])</f>
        <v>7.3936187624863541</v>
      </c>
      <c r="E42" s="24">
        <f t="shared" si="0"/>
        <v>4.1703105386137977</v>
      </c>
      <c r="F42" s="25" t="str">
        <f t="shared" si="1"/>
        <v>Green</v>
      </c>
    </row>
    <row r="43" spans="1:6" x14ac:dyDescent="0.35">
      <c r="A43" s="23">
        <v>43009</v>
      </c>
      <c r="B43" s="24">
        <f>AVERAGE(Table4[[#This Row],[GDP]],Table4[[#This Row],[CPI]],Table4[[#This Row],[REPO RATE]])</f>
        <v>4.6788378748057591</v>
      </c>
      <c r="C43" s="24">
        <f>AVERAGE(Table4[[#This Row],[INDIA VIX]],Table4[[#This Row],[GOLD/NIFTY]],Table4[[#This Row],[NIFTY PE RATIO]])</f>
        <v>2.0717890394154659</v>
      </c>
      <c r="D43" s="24">
        <f>AVERAGE(Table4[[#This Row],[USD/INR % CHANGE]],Table4[[#This Row],[OIL % CHANGE]],Table4[[#This Row],[Net FII (cr)]])</f>
        <v>5.6121425903382232</v>
      </c>
      <c r="E43" s="24">
        <f t="shared" si="0"/>
        <v>3.7856573135398666</v>
      </c>
      <c r="F43" s="25" t="str">
        <f t="shared" si="1"/>
        <v>Green</v>
      </c>
    </row>
    <row r="44" spans="1:6" x14ac:dyDescent="0.35">
      <c r="A44" s="23">
        <v>43040</v>
      </c>
      <c r="B44" s="24">
        <f>AVERAGE(Table4[[#This Row],[GDP]],Table4[[#This Row],[CPI]],Table4[[#This Row],[REPO RATE]])</f>
        <v>4.4451401491386813</v>
      </c>
      <c r="C44" s="24">
        <f>AVERAGE(Table4[[#This Row],[INDIA VIX]],Table4[[#This Row],[GOLD/NIFTY]],Table4[[#This Row],[NIFTY PE RATIO]])</f>
        <v>2.0943873604752428</v>
      </c>
      <c r="D44" s="24">
        <f>AVERAGE(Table4[[#This Row],[USD/INR % CHANGE]],Table4[[#This Row],[OIL % CHANGE]],Table4[[#This Row],[Net FII (cr)]])</f>
        <v>4.3977723271787168</v>
      </c>
      <c r="E44" s="24">
        <f t="shared" si="0"/>
        <v>3.3730910476521445</v>
      </c>
      <c r="F44" s="25" t="str">
        <f t="shared" si="1"/>
        <v>Green</v>
      </c>
    </row>
    <row r="45" spans="1:6" x14ac:dyDescent="0.35">
      <c r="A45" s="23">
        <v>43070</v>
      </c>
      <c r="B45" s="24">
        <f>AVERAGE(Table4[[#This Row],[GDP]],Table4[[#This Row],[CPI]],Table4[[#This Row],[REPO RATE]])</f>
        <v>4.6251447738006979</v>
      </c>
      <c r="C45" s="24">
        <f>AVERAGE(Table4[[#This Row],[INDIA VIX]],Table4[[#This Row],[GOLD/NIFTY]],Table4[[#This Row],[NIFTY PE RATIO]])</f>
        <v>2.3579459653438075</v>
      </c>
      <c r="D45" s="24">
        <f>AVERAGE(Table4[[#This Row],[USD/INR % CHANGE]],Table4[[#This Row],[OIL % CHANGE]],Table4[[#This Row],[Net FII (cr)]])</f>
        <v>4.2434658911676912</v>
      </c>
      <c r="E45" s="24">
        <f t="shared" si="0"/>
        <v>3.4904016452051954</v>
      </c>
      <c r="F45" s="25" t="str">
        <f t="shared" si="1"/>
        <v>Green</v>
      </c>
    </row>
    <row r="46" spans="1:6" x14ac:dyDescent="0.35">
      <c r="A46" s="23">
        <v>43101</v>
      </c>
      <c r="B46" s="24">
        <f>AVERAGE(Table4[[#This Row],[GDP]],Table4[[#This Row],[CPI]],Table4[[#This Row],[REPO RATE]])</f>
        <v>5.4196585310270819</v>
      </c>
      <c r="C46" s="24">
        <f>AVERAGE(Table4[[#This Row],[INDIA VIX]],Table4[[#This Row],[GOLD/NIFTY]],Table4[[#This Row],[NIFTY PE RATIO]])</f>
        <v>2.2646960834705463</v>
      </c>
      <c r="D46" s="24">
        <f>AVERAGE(Table4[[#This Row],[USD/INR % CHANGE]],Table4[[#This Row],[OIL % CHANGE]],Table4[[#This Row],[Net FII (cr)]])</f>
        <v>5.3063643790456707</v>
      </c>
      <c r="E46" s="24">
        <f t="shared" si="0"/>
        <v>3.9659371840322173</v>
      </c>
      <c r="F46" s="25" t="str">
        <f t="shared" si="1"/>
        <v>Green</v>
      </c>
    </row>
    <row r="47" spans="1:6" x14ac:dyDescent="0.35">
      <c r="A47" s="23">
        <v>43132</v>
      </c>
      <c r="B47" s="24">
        <f>AVERAGE(Table4[[#This Row],[GDP]],Table4[[#This Row],[CPI]],Table4[[#This Row],[REPO RATE]])</f>
        <v>4.0376489277617882</v>
      </c>
      <c r="C47" s="24">
        <f>AVERAGE(Table4[[#This Row],[INDIA VIX]],Table4[[#This Row],[GOLD/NIFTY]],Table4[[#This Row],[NIFTY PE RATIO]])</f>
        <v>2.7460225927287323</v>
      </c>
      <c r="D47" s="24">
        <f>AVERAGE(Table4[[#This Row],[USD/INR % CHANGE]],Table4[[#This Row],[OIL % CHANGE]],Table4[[#This Row],[Net FII (cr)]])</f>
        <v>5.5652563847054966</v>
      </c>
      <c r="E47" s="24">
        <f t="shared" si="0"/>
        <v>3.9146993140800257</v>
      </c>
      <c r="F47" s="25" t="str">
        <f t="shared" si="1"/>
        <v>Green</v>
      </c>
    </row>
    <row r="48" spans="1:6" x14ac:dyDescent="0.35">
      <c r="A48" s="23">
        <v>43160</v>
      </c>
      <c r="B48" s="24">
        <f>AVERAGE(Table4[[#This Row],[GDP]],Table4[[#This Row],[CPI]],Table4[[#This Row],[REPO RATE]])</f>
        <v>5.2040070672238405</v>
      </c>
      <c r="C48" s="24">
        <f>AVERAGE(Table4[[#This Row],[INDIA VIX]],Table4[[#This Row],[GOLD/NIFTY]],Table4[[#This Row],[NIFTY PE RATIO]])</f>
        <v>2.2577838114894333</v>
      </c>
      <c r="D48" s="24">
        <f>AVERAGE(Table4[[#This Row],[USD/INR % CHANGE]],Table4[[#This Row],[OIL % CHANGE]],Table4[[#This Row],[Net FII (cr)]])</f>
        <v>6.1967529669222285</v>
      </c>
      <c r="E48" s="24">
        <f t="shared" si="0"/>
        <v>4.1760303720528738</v>
      </c>
      <c r="F48" s="25" t="str">
        <f t="shared" si="1"/>
        <v>Green</v>
      </c>
    </row>
    <row r="49" spans="1:6" x14ac:dyDescent="0.35">
      <c r="A49" s="23">
        <v>43191</v>
      </c>
      <c r="B49" s="24">
        <f>AVERAGE(Table4[[#This Row],[GDP]],Table4[[#This Row],[CPI]],Table4[[#This Row],[REPO RATE]])</f>
        <v>4.8634519666829545</v>
      </c>
      <c r="C49" s="24">
        <f>AVERAGE(Table4[[#This Row],[INDIA VIX]],Table4[[#This Row],[GOLD/NIFTY]],Table4[[#This Row],[NIFTY PE RATIO]])</f>
        <v>2.9488693439000477</v>
      </c>
      <c r="D49" s="24">
        <f>AVERAGE(Table4[[#This Row],[USD/INR % CHANGE]],Table4[[#This Row],[OIL % CHANGE]],Table4[[#This Row],[Net FII (cr)]])</f>
        <v>7.3572149821421133</v>
      </c>
      <c r="E49" s="24">
        <f t="shared" si="0"/>
        <v>4.7500186910683944</v>
      </c>
      <c r="F49" s="25" t="str">
        <f t="shared" si="1"/>
        <v>Green</v>
      </c>
    </row>
    <row r="50" spans="1:6" x14ac:dyDescent="0.35">
      <c r="A50" s="23">
        <v>43221</v>
      </c>
      <c r="B50" s="24">
        <f>AVERAGE(Table4[[#This Row],[GDP]],Table4[[#This Row],[CPI]],Table4[[#This Row],[REPO RATE]])</f>
        <v>5.7419620209453761</v>
      </c>
      <c r="C50" s="24">
        <f>AVERAGE(Table4[[#This Row],[INDIA VIX]],Table4[[#This Row],[GOLD/NIFTY]],Table4[[#This Row],[NIFTY PE RATIO]])</f>
        <v>2.4287393519508962</v>
      </c>
      <c r="D50" s="24">
        <f>AVERAGE(Table4[[#This Row],[USD/INR % CHANGE]],Table4[[#This Row],[OIL % CHANGE]],Table4[[#This Row],[Net FII (cr)]])</f>
        <v>7.1937516119248457</v>
      </c>
      <c r="E50" s="24">
        <f t="shared" si="0"/>
        <v>4.686548697191701</v>
      </c>
      <c r="F50" s="25" t="str">
        <f t="shared" si="1"/>
        <v>Green</v>
      </c>
    </row>
    <row r="51" spans="1:6" x14ac:dyDescent="0.35">
      <c r="A51" s="23">
        <v>43252</v>
      </c>
      <c r="B51" s="24">
        <f>AVERAGE(Table4[[#This Row],[GDP]],Table4[[#This Row],[CPI]],Table4[[#This Row],[REPO RATE]])</f>
        <v>6.3110065267545687</v>
      </c>
      <c r="C51" s="24">
        <f>AVERAGE(Table4[[#This Row],[INDIA VIX]],Table4[[#This Row],[GOLD/NIFTY]],Table4[[#This Row],[NIFTY PE RATIO]])</f>
        <v>2.1032336027121223</v>
      </c>
      <c r="D51" s="24">
        <f>AVERAGE(Table4[[#This Row],[USD/INR % CHANGE]],Table4[[#This Row],[OIL % CHANGE]],Table4[[#This Row],[Net FII (cr)]])</f>
        <v>7.6046660151351615</v>
      </c>
      <c r="E51" s="24">
        <f t="shared" si="0"/>
        <v>4.8056065574496456</v>
      </c>
      <c r="F51" s="25" t="str">
        <f t="shared" si="1"/>
        <v>Green</v>
      </c>
    </row>
    <row r="52" spans="1:6" x14ac:dyDescent="0.35">
      <c r="A52" s="23">
        <v>43282</v>
      </c>
      <c r="B52" s="24">
        <f>AVERAGE(Table4[[#This Row],[GDP]],Table4[[#This Row],[CPI]],Table4[[#This Row],[REPO RATE]])</f>
        <v>5.4974210275435533</v>
      </c>
      <c r="C52" s="24">
        <f>AVERAGE(Table4[[#This Row],[INDIA VIX]],Table4[[#This Row],[GOLD/NIFTY]],Table4[[#This Row],[NIFTY PE RATIO]])</f>
        <v>2.4272356655018186</v>
      </c>
      <c r="D52" s="24">
        <f>AVERAGE(Table4[[#This Row],[USD/INR % CHANGE]],Table4[[#This Row],[OIL % CHANGE]],Table4[[#This Row],[Net FII (cr)]])</f>
        <v>5.0639777420018426</v>
      </c>
      <c r="E52" s="24">
        <f t="shared" si="0"/>
        <v>3.98580462896226</v>
      </c>
      <c r="F52" s="25" t="str">
        <f t="shared" si="1"/>
        <v>Green</v>
      </c>
    </row>
    <row r="53" spans="1:6" x14ac:dyDescent="0.35">
      <c r="A53" s="23">
        <v>43313</v>
      </c>
      <c r="B53" s="24">
        <f>AVERAGE(Table4[[#This Row],[GDP]],Table4[[#This Row],[CPI]],Table4[[#This Row],[REPO RATE]])</f>
        <v>4.7102364912911971</v>
      </c>
      <c r="C53" s="24">
        <f>AVERAGE(Table4[[#This Row],[INDIA VIX]],Table4[[#This Row],[GOLD/NIFTY]],Table4[[#This Row],[NIFTY PE RATIO]])</f>
        <v>2.3903253014954018</v>
      </c>
      <c r="D53" s="24">
        <f>AVERAGE(Table4[[#This Row],[USD/INR % CHANGE]],Table4[[#This Row],[OIL % CHANGE]],Table4[[#This Row],[Net FII (cr)]])</f>
        <v>7.4183848848581535</v>
      </c>
      <c r="E53" s="24">
        <f t="shared" si="0"/>
        <v>4.4787209739531768</v>
      </c>
      <c r="F53" s="25" t="str">
        <f t="shared" si="1"/>
        <v>Green</v>
      </c>
    </row>
    <row r="54" spans="1:6" x14ac:dyDescent="0.35">
      <c r="A54" s="23">
        <v>43344</v>
      </c>
      <c r="B54" s="24">
        <f>AVERAGE(Table4[[#This Row],[GDP]],Table4[[#This Row],[CPI]],Table4[[#This Row],[REPO RATE]])</f>
        <v>4.6056732289341582</v>
      </c>
      <c r="C54" s="24">
        <f>AVERAGE(Table4[[#This Row],[INDIA VIX]],Table4[[#This Row],[GOLD/NIFTY]],Table4[[#This Row],[NIFTY PE RATIO]])</f>
        <v>2.0191084177308252</v>
      </c>
      <c r="D54" s="24">
        <f>AVERAGE(Table4[[#This Row],[USD/INR % CHANGE]],Table4[[#This Row],[OIL % CHANGE]],Table4[[#This Row],[Net FII (cr)]])</f>
        <v>7.181240537824654</v>
      </c>
      <c r="E54" s="24">
        <f t="shared" si="0"/>
        <v>4.2143892565598069</v>
      </c>
      <c r="F54" s="25" t="str">
        <f t="shared" si="1"/>
        <v>Green</v>
      </c>
    </row>
    <row r="55" spans="1:6" x14ac:dyDescent="0.35">
      <c r="A55" s="23">
        <v>43374</v>
      </c>
      <c r="B55" s="24">
        <f>AVERAGE(Table4[[#This Row],[GDP]],Table4[[#This Row],[CPI]],Table4[[#This Row],[REPO RATE]])</f>
        <v>5.377754869824507</v>
      </c>
      <c r="C55" s="24">
        <f>AVERAGE(Table4[[#This Row],[INDIA VIX]],Table4[[#This Row],[GOLD/NIFTY]],Table4[[#This Row],[NIFTY PE RATIO]])</f>
        <v>3.0907984414863221</v>
      </c>
      <c r="D55" s="24">
        <f>AVERAGE(Table4[[#This Row],[USD/INR % CHANGE]],Table4[[#This Row],[OIL % CHANGE]],Table4[[#This Row],[Net FII (cr)]])</f>
        <v>6.4423988423171865</v>
      </c>
      <c r="E55" s="24">
        <f t="shared" si="0"/>
        <v>4.6680176688201271</v>
      </c>
      <c r="F55" s="25" t="str">
        <f t="shared" si="1"/>
        <v>Green</v>
      </c>
    </row>
    <row r="56" spans="1:6" x14ac:dyDescent="0.35">
      <c r="A56" s="23">
        <v>43405</v>
      </c>
      <c r="B56" s="24">
        <f>AVERAGE(Table4[[#This Row],[GDP]],Table4[[#This Row],[CPI]],Table4[[#This Row],[REPO RATE]])</f>
        <v>5.416666666666667</v>
      </c>
      <c r="C56" s="24">
        <f>AVERAGE(Table4[[#This Row],[INDIA VIX]],Table4[[#This Row],[GOLD/NIFTY]],Table4[[#This Row],[NIFTY PE RATIO]])</f>
        <v>3.4265212650299168</v>
      </c>
      <c r="D56" s="24">
        <f>AVERAGE(Table4[[#This Row],[USD/INR % CHANGE]],Table4[[#This Row],[OIL % CHANGE]],Table4[[#This Row],[Net FII (cr)]])</f>
        <v>3.3333333333333335</v>
      </c>
      <c r="E56" s="24">
        <f t="shared" si="0"/>
        <v>3.8961012359301295</v>
      </c>
      <c r="F56" s="25" t="str">
        <f t="shared" si="1"/>
        <v>Green</v>
      </c>
    </row>
    <row r="57" spans="1:6" x14ac:dyDescent="0.35">
      <c r="A57" s="23">
        <v>43435</v>
      </c>
      <c r="B57" s="24">
        <f>AVERAGE(Table4[[#This Row],[GDP]],Table4[[#This Row],[CPI]],Table4[[#This Row],[REPO RATE]])</f>
        <v>3.6078076661193976</v>
      </c>
      <c r="C57" s="24">
        <f>AVERAGE(Table4[[#This Row],[INDIA VIX]],Table4[[#This Row],[GOLD/NIFTY]],Table4[[#This Row],[NIFTY PE RATIO]])</f>
        <v>3.5435977384634492</v>
      </c>
      <c r="D57" s="24">
        <f>AVERAGE(Table4[[#This Row],[USD/INR % CHANGE]],Table4[[#This Row],[OIL % CHANGE]],Table4[[#This Row],[Net FII (cr)]])</f>
        <v>3.6635305211970057</v>
      </c>
      <c r="E57" s="24">
        <f t="shared" si="0"/>
        <v>3.5956300551975033</v>
      </c>
      <c r="F57" s="25" t="str">
        <f t="shared" si="1"/>
        <v>Green</v>
      </c>
    </row>
    <row r="58" spans="1:6" x14ac:dyDescent="0.35">
      <c r="A58" s="23">
        <v>43466</v>
      </c>
      <c r="B58" s="24">
        <f>AVERAGE(Table4[[#This Row],[GDP]],Table4[[#This Row],[CPI]],Table4[[#This Row],[REPO RATE]])</f>
        <v>3.7469145742450274</v>
      </c>
      <c r="C58" s="24">
        <f>AVERAGE(Table4[[#This Row],[INDIA VIX]],Table4[[#This Row],[GOLD/NIFTY]],Table4[[#This Row],[NIFTY PE RATIO]])</f>
        <v>3.2477218185261667</v>
      </c>
      <c r="D58" s="24">
        <f>AVERAGE(Table4[[#This Row],[USD/INR % CHANGE]],Table4[[#This Row],[OIL % CHANGE]],Table4[[#This Row],[Net FII (cr)]])</f>
        <v>7.6229848678628445</v>
      </c>
      <c r="E58" s="24">
        <f t="shared" si="0"/>
        <v>4.6850989222568851</v>
      </c>
      <c r="F58" s="25" t="str">
        <f t="shared" si="1"/>
        <v>Green</v>
      </c>
    </row>
    <row r="59" spans="1:6" x14ac:dyDescent="0.35">
      <c r="A59" s="23">
        <v>43497</v>
      </c>
      <c r="B59" s="24">
        <f>AVERAGE(Table4[[#This Row],[GDP]],Table4[[#This Row],[CPI]],Table4[[#This Row],[REPO RATE]])</f>
        <v>4.0499091836624688</v>
      </c>
      <c r="C59" s="24">
        <f>AVERAGE(Table4[[#This Row],[INDIA VIX]],Table4[[#This Row],[GOLD/NIFTY]],Table4[[#This Row],[NIFTY PE RATIO]])</f>
        <v>3.5001308844340531</v>
      </c>
      <c r="D59" s="24">
        <f>AVERAGE(Table4[[#This Row],[USD/INR % CHANGE]],Table4[[#This Row],[OIL % CHANGE]],Table4[[#This Row],[Net FII (cr)]])</f>
        <v>6.1381293688245426</v>
      </c>
      <c r="E59" s="24">
        <f t="shared" si="0"/>
        <v>4.4289750045583034</v>
      </c>
      <c r="F59" s="25" t="str">
        <f t="shared" si="1"/>
        <v>Green</v>
      </c>
    </row>
    <row r="60" spans="1:6" x14ac:dyDescent="0.35">
      <c r="A60" s="23">
        <v>43525</v>
      </c>
      <c r="B60" s="24">
        <f>AVERAGE(Table4[[#This Row],[GDP]],Table4[[#This Row],[CPI]],Table4[[#This Row],[REPO RATE]])</f>
        <v>3.581588258352145</v>
      </c>
      <c r="C60" s="24">
        <f>AVERAGE(Table4[[#This Row],[INDIA VIX]],Table4[[#This Row],[GOLD/NIFTY]],Table4[[#This Row],[NIFTY PE RATIO]])</f>
        <v>3.7822308869931169</v>
      </c>
      <c r="D60" s="24">
        <f>AVERAGE(Table4[[#This Row],[USD/INR % CHANGE]],Table4[[#This Row],[OIL % CHANGE]],Table4[[#This Row],[Net FII (cr)]])</f>
        <v>3.4384679612956623</v>
      </c>
      <c r="E60" s="24">
        <f t="shared" si="0"/>
        <v>3.6289413521236376</v>
      </c>
      <c r="F60" s="25" t="str">
        <f t="shared" si="1"/>
        <v>Green</v>
      </c>
    </row>
    <row r="61" spans="1:6" x14ac:dyDescent="0.35">
      <c r="A61" s="23">
        <v>43556</v>
      </c>
      <c r="B61" s="24">
        <f>AVERAGE(Table4[[#This Row],[GDP]],Table4[[#This Row],[CPI]],Table4[[#This Row],[REPO RATE]])</f>
        <v>2.084019941074907</v>
      </c>
      <c r="C61" s="24">
        <f>AVERAGE(Table4[[#This Row],[INDIA VIX]],Table4[[#This Row],[GOLD/NIFTY]],Table4[[#This Row],[NIFTY PE RATIO]])</f>
        <v>3.5979989972068629</v>
      </c>
      <c r="D61" s="24">
        <f>AVERAGE(Table4[[#This Row],[USD/INR % CHANGE]],Table4[[#This Row],[OIL % CHANGE]],Table4[[#This Row],[Net FII (cr)]])</f>
        <v>4.4731098789719672</v>
      </c>
      <c r="E61" s="24">
        <f t="shared" si="0"/>
        <v>3.4820374977034056</v>
      </c>
      <c r="F61" s="25" t="str">
        <f t="shared" si="1"/>
        <v>Green</v>
      </c>
    </row>
    <row r="62" spans="1:6" x14ac:dyDescent="0.35">
      <c r="A62" s="23">
        <v>43586</v>
      </c>
      <c r="B62" s="24">
        <f>AVERAGE(Table4[[#This Row],[GDP]],Table4[[#This Row],[CPI]],Table4[[#This Row],[REPO RATE]])</f>
        <v>3.3239855618935006</v>
      </c>
      <c r="C62" s="24">
        <f>AVERAGE(Table4[[#This Row],[INDIA VIX]],Table4[[#This Row],[GOLD/NIFTY]],Table4[[#This Row],[NIFTY PE RATIO]])</f>
        <v>4.5935693294247946</v>
      </c>
      <c r="D62" s="24">
        <f>AVERAGE(Table4[[#This Row],[USD/INR % CHANGE]],Table4[[#This Row],[OIL % CHANGE]],Table4[[#This Row],[Net FII (cr)]])</f>
        <v>2.9874076697748042</v>
      </c>
      <c r="E62" s="24">
        <f t="shared" si="0"/>
        <v>3.7943248896469743</v>
      </c>
      <c r="F62" s="25" t="str">
        <f t="shared" si="1"/>
        <v>Green</v>
      </c>
    </row>
    <row r="63" spans="1:6" x14ac:dyDescent="0.35">
      <c r="A63" s="23">
        <v>43617</v>
      </c>
      <c r="B63" s="24">
        <f>AVERAGE(Table4[[#This Row],[GDP]],Table4[[#This Row],[CPI]],Table4[[#This Row],[REPO RATE]])</f>
        <v>3.4021193382608437</v>
      </c>
      <c r="C63" s="24">
        <f>AVERAGE(Table4[[#This Row],[INDIA VIX]],Table4[[#This Row],[GOLD/NIFTY]],Table4[[#This Row],[NIFTY PE RATIO]])</f>
        <v>3.7379052669123198</v>
      </c>
      <c r="D63" s="24">
        <f>AVERAGE(Table4[[#This Row],[USD/INR % CHANGE]],Table4[[#This Row],[OIL % CHANGE]],Table4[[#This Row],[Net FII (cr)]])</f>
        <v>4.4819140382963818</v>
      </c>
      <c r="E63" s="24">
        <f t="shared" si="0"/>
        <v>3.8771614161646695</v>
      </c>
      <c r="F63" s="25" t="str">
        <f t="shared" si="1"/>
        <v>Green</v>
      </c>
    </row>
    <row r="64" spans="1:6" x14ac:dyDescent="0.35">
      <c r="A64" s="23">
        <v>43647</v>
      </c>
      <c r="B64" s="24">
        <f>AVERAGE(Table4[[#This Row],[GDP]],Table4[[#This Row],[CPI]],Table4[[#This Row],[REPO RATE]])</f>
        <v>3.3172237450656699</v>
      </c>
      <c r="C64" s="24">
        <f>AVERAGE(Table4[[#This Row],[INDIA VIX]],Table4[[#This Row],[GOLD/NIFTY]],Table4[[#This Row],[NIFTY PE RATIO]])</f>
        <v>3.4797741587715869</v>
      </c>
      <c r="D64" s="24">
        <f>AVERAGE(Table4[[#This Row],[USD/INR % CHANGE]],Table4[[#This Row],[OIL % CHANGE]],Table4[[#This Row],[Net FII (cr)]])</f>
        <v>4.5948144327943474</v>
      </c>
      <c r="E64" s="24">
        <f t="shared" si="0"/>
        <v>3.7736486375519358</v>
      </c>
      <c r="F64" s="25" t="str">
        <f t="shared" si="1"/>
        <v>Green</v>
      </c>
    </row>
    <row r="65" spans="1:6" x14ac:dyDescent="0.35">
      <c r="A65" s="23">
        <v>43678</v>
      </c>
      <c r="B65" s="24">
        <f>AVERAGE(Table4[[#This Row],[GDP]],Table4[[#This Row],[CPI]],Table4[[#This Row],[REPO RATE]])</f>
        <v>3.715757099403358</v>
      </c>
      <c r="C65" s="24">
        <f>AVERAGE(Table4[[#This Row],[INDIA VIX]],Table4[[#This Row],[GOLD/NIFTY]],Table4[[#This Row],[NIFTY PE RATIO]])</f>
        <v>3.8961164115670108</v>
      </c>
      <c r="D65" s="24">
        <f>AVERAGE(Table4[[#This Row],[USD/INR % CHANGE]],Table4[[#This Row],[OIL % CHANGE]],Table4[[#This Row],[Net FII (cr)]])</f>
        <v>6.2162109872449838</v>
      </c>
      <c r="E65" s="24">
        <f t="shared" si="0"/>
        <v>4.5470549562294895</v>
      </c>
      <c r="F65" s="25" t="str">
        <f t="shared" si="1"/>
        <v>Green</v>
      </c>
    </row>
    <row r="66" spans="1:6" x14ac:dyDescent="0.35">
      <c r="A66" s="23">
        <v>43709</v>
      </c>
      <c r="B66" s="24">
        <f>AVERAGE(Table4[[#This Row],[GDP]],Table4[[#This Row],[CPI]],Table4[[#This Row],[REPO RATE]])</f>
        <v>4.2984272251999016</v>
      </c>
      <c r="C66" s="24">
        <f>AVERAGE(Table4[[#This Row],[INDIA VIX]],Table4[[#This Row],[GOLD/NIFTY]],Table4[[#This Row],[NIFTY PE RATIO]])</f>
        <v>3.6776019317746211</v>
      </c>
      <c r="D66" s="24">
        <f>AVERAGE(Table4[[#This Row],[USD/INR % CHANGE]],Table4[[#This Row],[OIL % CHANGE]],Table4[[#This Row],[Net FII (cr)]])</f>
        <v>4.4989296036935942</v>
      </c>
      <c r="E66" s="24">
        <f t="shared" si="0"/>
        <v>4.0792065567066329</v>
      </c>
      <c r="F66" s="25" t="str">
        <f t="shared" si="1"/>
        <v>Green</v>
      </c>
    </row>
    <row r="67" spans="1:6" x14ac:dyDescent="0.35">
      <c r="A67" s="23">
        <v>43739</v>
      </c>
      <c r="B67" s="24">
        <f>AVERAGE(Table4[[#This Row],[GDP]],Table4[[#This Row],[CPI]],Table4[[#This Row],[REPO RATE]])</f>
        <v>4.0364953271960413</v>
      </c>
      <c r="C67" s="24">
        <f>AVERAGE(Table4[[#This Row],[INDIA VIX]],Table4[[#This Row],[GOLD/NIFTY]],Table4[[#This Row],[NIFTY PE RATIO]])</f>
        <v>3.7651625869951064</v>
      </c>
      <c r="D67" s="24">
        <f>AVERAGE(Table4[[#This Row],[USD/INR % CHANGE]],Table4[[#This Row],[OIL % CHANGE]],Table4[[#This Row],[Net FII (cr)]])</f>
        <v>5.3006875883310789</v>
      </c>
      <c r="E67" s="24">
        <f t="shared" ref="E67:E120" si="2">(B67*0.25)+(C67*0.45)+(D67*0.3)</f>
        <v>4.2936532724461323</v>
      </c>
      <c r="F67" s="25" t="str">
        <f t="shared" ref="F67:F120" si="3">IF(E67&lt;=5,"Green",IF(E67&lt;=6.5,"Amber","Red"))</f>
        <v>Green</v>
      </c>
    </row>
    <row r="68" spans="1:6" x14ac:dyDescent="0.35">
      <c r="A68" s="23">
        <v>43770</v>
      </c>
      <c r="B68" s="24">
        <f>AVERAGE(Table4[[#This Row],[GDP]],Table4[[#This Row],[CPI]],Table4[[#This Row],[REPO RATE]])</f>
        <v>4.2891132531035234</v>
      </c>
      <c r="C68" s="24">
        <f>AVERAGE(Table4[[#This Row],[INDIA VIX]],Table4[[#This Row],[GOLD/NIFTY]],Table4[[#This Row],[NIFTY PE RATIO]])</f>
        <v>3.8099042906963305</v>
      </c>
      <c r="D68" s="24">
        <f>AVERAGE(Table4[[#This Row],[USD/INR % CHANGE]],Table4[[#This Row],[OIL % CHANGE]],Table4[[#This Row],[Net FII (cr)]])</f>
        <v>5.4777623022780917</v>
      </c>
      <c r="E68" s="24">
        <f t="shared" si="2"/>
        <v>4.4300639347726571</v>
      </c>
      <c r="F68" s="25" t="str">
        <f t="shared" si="3"/>
        <v>Green</v>
      </c>
    </row>
    <row r="69" spans="1:6" x14ac:dyDescent="0.35">
      <c r="A69" s="23">
        <v>43800</v>
      </c>
      <c r="B69" s="24">
        <f>AVERAGE(Table4[[#This Row],[GDP]],Table4[[#This Row],[CPI]],Table4[[#This Row],[REPO RATE]])</f>
        <v>5.2279614401226882</v>
      </c>
      <c r="C69" s="24">
        <f>AVERAGE(Table4[[#This Row],[INDIA VIX]],Table4[[#This Row],[GOLD/NIFTY]],Table4[[#This Row],[NIFTY PE RATIO]])</f>
        <v>3.5659812264148401</v>
      </c>
      <c r="D69" s="24">
        <f>AVERAGE(Table4[[#This Row],[USD/INR % CHANGE]],Table4[[#This Row],[OIL % CHANGE]],Table4[[#This Row],[Net FII (cr)]])</f>
        <v>4.6750680820873027</v>
      </c>
      <c r="E69" s="24">
        <f t="shared" si="2"/>
        <v>4.3142023365435413</v>
      </c>
      <c r="F69" s="25" t="str">
        <f t="shared" si="3"/>
        <v>Green</v>
      </c>
    </row>
    <row r="70" spans="1:6" x14ac:dyDescent="0.35">
      <c r="A70" s="23">
        <v>43831</v>
      </c>
      <c r="B70" s="24">
        <f>AVERAGE(Table4[[#This Row],[GDP]],Table4[[#This Row],[CPI]],Table4[[#This Row],[REPO RATE]])</f>
        <v>6.1471777261578806</v>
      </c>
      <c r="C70" s="24">
        <f>AVERAGE(Table4[[#This Row],[INDIA VIX]],Table4[[#This Row],[GOLD/NIFTY]],Table4[[#This Row],[NIFTY PE RATIO]])</f>
        <v>2.9604422553098773</v>
      </c>
      <c r="D70" s="24">
        <f>AVERAGE(Table4[[#This Row],[USD/INR % CHANGE]],Table4[[#This Row],[OIL % CHANGE]],Table4[[#This Row],[Net FII (cr)]])</f>
        <v>3.8507648676975124</v>
      </c>
      <c r="E70" s="24">
        <f t="shared" si="2"/>
        <v>4.024222906738169</v>
      </c>
      <c r="F70" s="25" t="str">
        <f t="shared" si="3"/>
        <v>Green</v>
      </c>
    </row>
    <row r="71" spans="1:6" x14ac:dyDescent="0.35">
      <c r="A71" s="23">
        <v>43862</v>
      </c>
      <c r="B71" s="24">
        <f>AVERAGE(Table4[[#This Row],[GDP]],Table4[[#This Row],[CPI]],Table4[[#This Row],[REPO RATE]])</f>
        <v>5.5420435451992489</v>
      </c>
      <c r="C71" s="24">
        <f>AVERAGE(Table4[[#This Row],[INDIA VIX]],Table4[[#This Row],[GOLD/NIFTY]],Table4[[#This Row],[NIFTY PE RATIO]])</f>
        <v>4.60241535266913</v>
      </c>
      <c r="D71" s="24">
        <f>AVERAGE(Table4[[#This Row],[USD/INR % CHANGE]],Table4[[#This Row],[OIL % CHANGE]],Table4[[#This Row],[Net FII (cr)]])</f>
        <v>4.8560858820849555</v>
      </c>
      <c r="E71" s="24">
        <f t="shared" si="2"/>
        <v>4.9134235596264073</v>
      </c>
      <c r="F71" s="25" t="str">
        <f t="shared" si="3"/>
        <v>Green</v>
      </c>
    </row>
    <row r="72" spans="1:6" x14ac:dyDescent="0.35">
      <c r="A72" s="23">
        <v>43891</v>
      </c>
      <c r="B72" s="24">
        <f>AVERAGE(Table4[[#This Row],[GDP]],Table4[[#This Row],[CPI]],Table4[[#This Row],[REPO RATE]])</f>
        <v>4.1295223337872997</v>
      </c>
      <c r="C72" s="24">
        <f>AVERAGE(Table4[[#This Row],[INDIA VIX]],Table4[[#This Row],[GOLD/NIFTY]],Table4[[#This Row],[NIFTY PE RATIO]])</f>
        <v>5.6669734376861856</v>
      </c>
      <c r="D72" s="24">
        <f>AVERAGE(Table4[[#This Row],[USD/INR % CHANGE]],Table4[[#This Row],[OIL % CHANGE]],Table4[[#This Row],[Net FII (cr)]])</f>
        <v>4.9563385980756252</v>
      </c>
      <c r="E72" s="24">
        <f t="shared" si="2"/>
        <v>5.0694202098282961</v>
      </c>
      <c r="F72" s="25" t="str">
        <f t="shared" si="3"/>
        <v>Amber</v>
      </c>
    </row>
    <row r="73" spans="1:6" x14ac:dyDescent="0.35">
      <c r="A73" s="23">
        <v>43922</v>
      </c>
      <c r="B73" s="24">
        <f>AVERAGE(Table4[[#This Row],[GDP]],Table4[[#This Row],[CPI]],Table4[[#This Row],[REPO RATE]])</f>
        <v>6.7551232863280051</v>
      </c>
      <c r="C73" s="24">
        <f>AVERAGE(Table4[[#This Row],[INDIA VIX]],Table4[[#This Row],[GOLD/NIFTY]],Table4[[#This Row],[NIFTY PE RATIO]])</f>
        <v>7.2282760547639002</v>
      </c>
      <c r="D73" s="24">
        <f>AVERAGE(Table4[[#This Row],[USD/INR % CHANGE]],Table4[[#This Row],[OIL % CHANGE]],Table4[[#This Row],[Net FII (cr)]])</f>
        <v>6.2979573264851467</v>
      </c>
      <c r="E73" s="24">
        <f t="shared" si="2"/>
        <v>6.8308922441713005</v>
      </c>
      <c r="F73" s="25" t="str">
        <f t="shared" si="3"/>
        <v>Red</v>
      </c>
    </row>
    <row r="74" spans="1:6" x14ac:dyDescent="0.35">
      <c r="A74" s="23">
        <v>43952</v>
      </c>
      <c r="B74" s="24">
        <f>AVERAGE(Table4[[#This Row],[GDP]],Table4[[#This Row],[CPI]],Table4[[#This Row],[REPO RATE]])</f>
        <v>4.9732439389918888</v>
      </c>
      <c r="C74" s="24">
        <f>AVERAGE(Table4[[#This Row],[INDIA VIX]],Table4[[#This Row],[GOLD/NIFTY]],Table4[[#This Row],[NIFTY PE RATIO]])</f>
        <v>7.2282760547639002</v>
      </c>
      <c r="D74" s="24">
        <f>AVERAGE(Table4[[#This Row],[USD/INR % CHANGE]],Table4[[#This Row],[OIL % CHANGE]],Table4[[#This Row],[Net FII (cr)]])</f>
        <v>7.7908173918107089</v>
      </c>
      <c r="E74" s="24">
        <f t="shared" si="2"/>
        <v>6.833280426934941</v>
      </c>
      <c r="F74" s="25" t="str">
        <f t="shared" si="3"/>
        <v>Red</v>
      </c>
    </row>
    <row r="75" spans="1:6" x14ac:dyDescent="0.35">
      <c r="A75" s="23">
        <v>43983</v>
      </c>
      <c r="B75" s="24">
        <f>AVERAGE(Table4[[#This Row],[GDP]],Table4[[#This Row],[CPI]],Table4[[#This Row],[REPO RATE]])</f>
        <v>4.6654967671070438</v>
      </c>
      <c r="C75" s="24">
        <f>AVERAGE(Table4[[#This Row],[INDIA VIX]],Table4[[#This Row],[GOLD/NIFTY]],Table4[[#This Row],[NIFTY PE RATIO]])</f>
        <v>8.317965912265997</v>
      </c>
      <c r="D75" s="24">
        <f>AVERAGE(Table4[[#This Row],[USD/INR % CHANGE]],Table4[[#This Row],[OIL % CHANGE]],Table4[[#This Row],[Net FII (cr)]])</f>
        <v>6.2873187556489327</v>
      </c>
      <c r="E75" s="24">
        <f t="shared" si="2"/>
        <v>6.7956544789911399</v>
      </c>
      <c r="F75" s="25" t="str">
        <f t="shared" si="3"/>
        <v>Red</v>
      </c>
    </row>
    <row r="76" spans="1:6" x14ac:dyDescent="0.35">
      <c r="A76" s="23">
        <v>44013</v>
      </c>
      <c r="B76" s="24">
        <f>AVERAGE(Table4[[#This Row],[GDP]],Table4[[#This Row],[CPI]],Table4[[#This Row],[REPO RATE]])</f>
        <v>3.7430396499072578</v>
      </c>
      <c r="C76" s="24">
        <f>AVERAGE(Table4[[#This Row],[INDIA VIX]],Table4[[#This Row],[GOLD/NIFTY]],Table4[[#This Row],[NIFTY PE RATIO]])</f>
        <v>9.4076557697680929</v>
      </c>
      <c r="D76" s="24">
        <f>AVERAGE(Table4[[#This Row],[USD/INR % CHANGE]],Table4[[#This Row],[OIL % CHANGE]],Table4[[#This Row],[Net FII (cr)]])</f>
        <v>4.0963629223013411</v>
      </c>
      <c r="E76" s="24">
        <f t="shared" si="2"/>
        <v>6.398113885562859</v>
      </c>
      <c r="F76" s="25" t="str">
        <f t="shared" si="3"/>
        <v>Amber</v>
      </c>
    </row>
    <row r="77" spans="1:6" x14ac:dyDescent="0.35">
      <c r="A77" s="23">
        <v>44044</v>
      </c>
      <c r="B77" s="24">
        <f>AVERAGE(Table4[[#This Row],[GDP]],Table4[[#This Row],[CPI]],Table4[[#This Row],[REPO RATE]])</f>
        <v>4.5708423263971065</v>
      </c>
      <c r="C77" s="24">
        <f>AVERAGE(Table4[[#This Row],[INDIA VIX]],Table4[[#This Row],[GOLD/NIFTY]],Table4[[#This Row],[NIFTY PE RATIO]])</f>
        <v>9.1889224203435873</v>
      </c>
      <c r="D77" s="24">
        <f>AVERAGE(Table4[[#This Row],[USD/INR % CHANGE]],Table4[[#This Row],[OIL % CHANGE]],Table4[[#This Row],[Net FII (cr)]])</f>
        <v>4.0771435491326313</v>
      </c>
      <c r="E77" s="24">
        <f t="shared" si="2"/>
        <v>6.5008687354936807</v>
      </c>
      <c r="F77" s="25" t="str">
        <f t="shared" si="3"/>
        <v>Red</v>
      </c>
    </row>
    <row r="78" spans="1:6" x14ac:dyDescent="0.35">
      <c r="A78" s="23">
        <v>44075</v>
      </c>
      <c r="B78" s="24">
        <f>AVERAGE(Table4[[#This Row],[GDP]],Table4[[#This Row],[CPI]],Table4[[#This Row],[REPO RATE]])</f>
        <v>3.2066429783801431</v>
      </c>
      <c r="C78" s="24">
        <f>AVERAGE(Table4[[#This Row],[INDIA VIX]],Table4[[#This Row],[GOLD/NIFTY]],Table4[[#This Row],[NIFTY PE RATIO]])</f>
        <v>8.90909074683284</v>
      </c>
      <c r="D78" s="24">
        <f>AVERAGE(Table4[[#This Row],[USD/INR % CHANGE]],Table4[[#This Row],[OIL % CHANGE]],Table4[[#This Row],[Net FII (cr)]])</f>
        <v>2.8058396740245524</v>
      </c>
      <c r="E78" s="24">
        <f t="shared" si="2"/>
        <v>5.6525034828771794</v>
      </c>
      <c r="F78" s="25" t="str">
        <f t="shared" si="3"/>
        <v>Amber</v>
      </c>
    </row>
    <row r="79" spans="1:6" x14ac:dyDescent="0.35">
      <c r="A79" s="23">
        <v>44105</v>
      </c>
      <c r="B79" s="24">
        <f>AVERAGE(Table4[[#This Row],[GDP]],Table4[[#This Row],[CPI]],Table4[[#This Row],[REPO RATE]])</f>
        <v>5.3379254377963905</v>
      </c>
      <c r="C79" s="24">
        <f>AVERAGE(Table4[[#This Row],[INDIA VIX]],Table4[[#This Row],[GOLD/NIFTY]],Table4[[#This Row],[NIFTY PE RATIO]])</f>
        <v>7.879005987747874</v>
      </c>
      <c r="D79" s="24">
        <f>AVERAGE(Table4[[#This Row],[USD/INR % CHANGE]],Table4[[#This Row],[OIL % CHANGE]],Table4[[#This Row],[Net FII (cr)]])</f>
        <v>5.1097852812972828</v>
      </c>
      <c r="E79" s="24">
        <f t="shared" si="2"/>
        <v>6.4129696383248262</v>
      </c>
      <c r="F79" s="25" t="str">
        <f t="shared" si="3"/>
        <v>Amber</v>
      </c>
    </row>
    <row r="80" spans="1:6" x14ac:dyDescent="0.35">
      <c r="A80" s="23">
        <v>44136</v>
      </c>
      <c r="B80" s="24">
        <f>AVERAGE(Table4[[#This Row],[GDP]],Table4[[#This Row],[CPI]],Table4[[#This Row],[REPO RATE]])</f>
        <v>4.035416562210103</v>
      </c>
      <c r="C80" s="24">
        <f>AVERAGE(Table4[[#This Row],[INDIA VIX]],Table4[[#This Row],[GOLD/NIFTY]],Table4[[#This Row],[NIFTY PE RATIO]])</f>
        <v>7.7435260989856118</v>
      </c>
      <c r="D80" s="24">
        <f>AVERAGE(Table4[[#This Row],[USD/INR % CHANGE]],Table4[[#This Row],[OIL % CHANGE]],Table4[[#This Row],[Net FII (cr)]])</f>
        <v>5.3426346913398142</v>
      </c>
      <c r="E80" s="24">
        <f t="shared" si="2"/>
        <v>6.0962312924979951</v>
      </c>
      <c r="F80" s="25" t="str">
        <f t="shared" si="3"/>
        <v>Amber</v>
      </c>
    </row>
    <row r="81" spans="1:8" x14ac:dyDescent="0.35">
      <c r="A81" s="23">
        <v>44166</v>
      </c>
      <c r="B81" s="24">
        <f>AVERAGE(Table4[[#This Row],[GDP]],Table4[[#This Row],[CPI]],Table4[[#This Row],[REPO RATE]])</f>
        <v>1.3443542928373196</v>
      </c>
      <c r="C81" s="24">
        <f>AVERAGE(Table4[[#This Row],[INDIA VIX]],Table4[[#This Row],[GOLD/NIFTY]],Table4[[#This Row],[NIFTY PE RATIO]])</f>
        <v>6.5649691216828989</v>
      </c>
      <c r="D81" s="24">
        <f>AVERAGE(Table4[[#This Row],[USD/INR % CHANGE]],Table4[[#This Row],[OIL % CHANGE]],Table4[[#This Row],[Net FII (cr)]])</f>
        <v>3.0581598159363668</v>
      </c>
      <c r="E81" s="24">
        <f t="shared" si="2"/>
        <v>4.2077726227475445</v>
      </c>
      <c r="F81" s="25" t="str">
        <f t="shared" si="3"/>
        <v>Green</v>
      </c>
    </row>
    <row r="82" spans="1:8" x14ac:dyDescent="0.35">
      <c r="A82" s="23">
        <v>44197</v>
      </c>
      <c r="B82" s="24">
        <f>AVERAGE(Table4[[#This Row],[GDP]],Table4[[#This Row],[CPI]],Table4[[#This Row],[REPO RATE]])</f>
        <v>0.99599149846091661</v>
      </c>
      <c r="C82" s="24">
        <f>AVERAGE(Table4[[#This Row],[INDIA VIX]],Table4[[#This Row],[GOLD/NIFTY]],Table4[[#This Row],[NIFTY PE RATIO]])</f>
        <v>6.8152203818630825</v>
      </c>
      <c r="D82" s="24">
        <f>AVERAGE(Table4[[#This Row],[USD/INR % CHANGE]],Table4[[#This Row],[OIL % CHANGE]],Table4[[#This Row],[Net FII (cr)]])</f>
        <v>3.6452692884637887</v>
      </c>
      <c r="E82" s="24">
        <f t="shared" si="2"/>
        <v>4.409427832992753</v>
      </c>
      <c r="F82" s="25" t="str">
        <f t="shared" si="3"/>
        <v>Green</v>
      </c>
    </row>
    <row r="83" spans="1:8" x14ac:dyDescent="0.35">
      <c r="A83" s="23">
        <v>44228</v>
      </c>
      <c r="B83" s="24">
        <f>AVERAGE(Table4[[#This Row],[GDP]],Table4[[#This Row],[CPI]],Table4[[#This Row],[REPO RATE]])</f>
        <v>3.0475900080056899</v>
      </c>
      <c r="C83" s="24">
        <f>AVERAGE(Table4[[#This Row],[INDIA VIX]],Table4[[#This Row],[GOLD/NIFTY]],Table4[[#This Row],[NIFTY PE RATIO]])</f>
        <v>6.9168226525483476</v>
      </c>
      <c r="D83" s="24">
        <f>AVERAGE(Table4[[#This Row],[USD/INR % CHANGE]],Table4[[#This Row],[OIL % CHANGE]],Table4[[#This Row],[Net FII (cr)]])</f>
        <v>7.2418039310596631</v>
      </c>
      <c r="E83" s="24">
        <f t="shared" si="2"/>
        <v>6.0470088749660782</v>
      </c>
      <c r="F83" s="25" t="str">
        <f t="shared" si="3"/>
        <v>Amber</v>
      </c>
    </row>
    <row r="84" spans="1:8" x14ac:dyDescent="0.35">
      <c r="A84" s="23">
        <v>44256</v>
      </c>
      <c r="B84" s="24">
        <f>AVERAGE(Table4[[#This Row],[GDP]],Table4[[#This Row],[CPI]],Table4[[#This Row],[REPO RATE]])</f>
        <v>3.0183036684726425</v>
      </c>
      <c r="C84" s="24">
        <f>AVERAGE(Table4[[#This Row],[INDIA VIX]],Table4[[#This Row],[GOLD/NIFTY]],Table4[[#This Row],[NIFTY PE RATIO]])</f>
        <v>7.3061676451552247</v>
      </c>
      <c r="D84" s="24">
        <f>AVERAGE(Table4[[#This Row],[USD/INR % CHANGE]],Table4[[#This Row],[OIL % CHANGE]],Table4[[#This Row],[Net FII (cr)]])</f>
        <v>3.1668837178219817</v>
      </c>
      <c r="E84" s="24">
        <f t="shared" si="2"/>
        <v>4.9924164727846065</v>
      </c>
      <c r="F84" s="25" t="str">
        <f t="shared" si="3"/>
        <v>Green</v>
      </c>
    </row>
    <row r="85" spans="1:8" x14ac:dyDescent="0.35">
      <c r="A85" s="23">
        <v>44287</v>
      </c>
      <c r="B85" s="24">
        <f>AVERAGE(Table4[[#This Row],[GDP]],Table4[[#This Row],[CPI]],Table4[[#This Row],[REPO RATE]])</f>
        <v>2.4265290405769515</v>
      </c>
      <c r="C85" s="24">
        <f>AVERAGE(Table4[[#This Row],[INDIA VIX]],Table4[[#This Row],[GOLD/NIFTY]],Table4[[#This Row],[NIFTY PE RATIO]])</f>
        <v>6.0356642086604646</v>
      </c>
      <c r="D85" s="24">
        <f>AVERAGE(Table4[[#This Row],[USD/INR % CHANGE]],Table4[[#This Row],[OIL % CHANGE]],Table4[[#This Row],[Net FII (cr)]])</f>
        <v>6.080183940739226</v>
      </c>
      <c r="E85" s="24">
        <f t="shared" si="2"/>
        <v>5.1467363362632144</v>
      </c>
      <c r="F85" s="25" t="str">
        <f t="shared" si="3"/>
        <v>Amber</v>
      </c>
      <c r="H85" s="26"/>
    </row>
    <row r="86" spans="1:8" x14ac:dyDescent="0.35">
      <c r="A86" s="23">
        <v>44317</v>
      </c>
      <c r="B86" s="24">
        <f>AVERAGE(Table4[[#This Row],[GDP]],Table4[[#This Row],[CPI]],Table4[[#This Row],[REPO RATE]])</f>
        <v>4.7656627644041629</v>
      </c>
      <c r="C86" s="24">
        <f>AVERAGE(Table4[[#This Row],[INDIA VIX]],Table4[[#This Row],[GOLD/NIFTY]],Table4[[#This Row],[NIFTY PE RATIO]])</f>
        <v>5.62265209163305</v>
      </c>
      <c r="D86" s="24">
        <f>AVERAGE(Table4[[#This Row],[USD/INR % CHANGE]],Table4[[#This Row],[OIL % CHANGE]],Table4[[#This Row],[Net FII (cr)]])</f>
        <v>4.3631566809229456</v>
      </c>
      <c r="E86" s="24">
        <f t="shared" si="2"/>
        <v>5.0305561366127973</v>
      </c>
      <c r="F86" s="25" t="str">
        <f t="shared" si="3"/>
        <v>Amber</v>
      </c>
      <c r="H86" s="26"/>
    </row>
    <row r="87" spans="1:8" x14ac:dyDescent="0.35">
      <c r="A87" s="23">
        <v>44348</v>
      </c>
      <c r="B87" s="24">
        <f>AVERAGE(Table4[[#This Row],[GDP]],Table4[[#This Row],[CPI]],Table4[[#This Row],[REPO RATE]])</f>
        <v>4.4827969499210463</v>
      </c>
      <c r="C87" s="24">
        <f>AVERAGE(Table4[[#This Row],[INDIA VIX]],Table4[[#This Row],[GOLD/NIFTY]],Table4[[#This Row],[NIFTY PE RATIO]])</f>
        <v>3.7883038230409931</v>
      </c>
      <c r="D87" s="24">
        <f>AVERAGE(Table4[[#This Row],[USD/INR % CHANGE]],Table4[[#This Row],[OIL % CHANGE]],Table4[[#This Row],[Net FII (cr)]])</f>
        <v>7.9468254064706825</v>
      </c>
      <c r="E87" s="24">
        <f t="shared" si="2"/>
        <v>5.2094835797899126</v>
      </c>
      <c r="F87" s="25" t="str">
        <f t="shared" si="3"/>
        <v>Amber</v>
      </c>
    </row>
    <row r="88" spans="1:8" x14ac:dyDescent="0.35">
      <c r="A88" s="23">
        <v>44378</v>
      </c>
      <c r="B88" s="24">
        <f>AVERAGE(Table4[[#This Row],[GDP]],Table4[[#This Row],[CPI]],Table4[[#This Row],[REPO RATE]])</f>
        <v>3.4788908962532274</v>
      </c>
      <c r="C88" s="24">
        <f>AVERAGE(Table4[[#This Row],[INDIA VIX]],Table4[[#This Row],[GOLD/NIFTY]],Table4[[#This Row],[NIFTY PE RATIO]])</f>
        <v>2.768706356707161</v>
      </c>
      <c r="D88" s="24">
        <f>AVERAGE(Table4[[#This Row],[USD/INR % CHANGE]],Table4[[#This Row],[OIL % CHANGE]],Table4[[#This Row],[Net FII (cr)]])</f>
        <v>4.7268712055647883</v>
      </c>
      <c r="E88" s="24">
        <f t="shared" si="2"/>
        <v>3.5337019462509658</v>
      </c>
      <c r="F88" s="25" t="str">
        <f t="shared" si="3"/>
        <v>Green</v>
      </c>
    </row>
    <row r="89" spans="1:8" x14ac:dyDescent="0.35">
      <c r="A89" s="23">
        <v>44409</v>
      </c>
      <c r="B89" s="24">
        <f>AVERAGE(Table4[[#This Row],[GDP]],Table4[[#This Row],[CPI]],Table4[[#This Row],[REPO RATE]])</f>
        <v>4.0538198622091635</v>
      </c>
      <c r="C89" s="24">
        <f>AVERAGE(Table4[[#This Row],[INDIA VIX]],Table4[[#This Row],[GOLD/NIFTY]],Table4[[#This Row],[NIFTY PE RATIO]])</f>
        <v>1.9502127807217591</v>
      </c>
      <c r="D89" s="24">
        <f>AVERAGE(Table4[[#This Row],[USD/INR % CHANGE]],Table4[[#This Row],[OIL % CHANGE]],Table4[[#This Row],[Net FII (cr)]])</f>
        <v>3.4956893242054328</v>
      </c>
      <c r="E89" s="24">
        <f t="shared" si="2"/>
        <v>2.9397575141387122</v>
      </c>
      <c r="F89" s="25" t="str">
        <f t="shared" si="3"/>
        <v>Green</v>
      </c>
    </row>
    <row r="90" spans="1:8" x14ac:dyDescent="0.35">
      <c r="A90" s="23">
        <v>44440</v>
      </c>
      <c r="B90" s="24">
        <f>AVERAGE(Table4[[#This Row],[GDP]],Table4[[#This Row],[CPI]],Table4[[#This Row],[REPO RATE]])</f>
        <v>2.523860788012493</v>
      </c>
      <c r="C90" s="24">
        <f>AVERAGE(Table4[[#This Row],[INDIA VIX]],Table4[[#This Row],[GOLD/NIFTY]],Table4[[#This Row],[NIFTY PE RATIO]])</f>
        <v>2.4129151651164271</v>
      </c>
      <c r="D90" s="24">
        <f>AVERAGE(Table4[[#This Row],[USD/INR % CHANGE]],Table4[[#This Row],[OIL % CHANGE]],Table4[[#This Row],[Net FII (cr)]])</f>
        <v>6.7120363585803018</v>
      </c>
      <c r="E90" s="24">
        <f t="shared" si="2"/>
        <v>3.730387928879606</v>
      </c>
      <c r="F90" s="25" t="str">
        <f t="shared" si="3"/>
        <v>Green</v>
      </c>
    </row>
    <row r="91" spans="1:8" x14ac:dyDescent="0.35">
      <c r="A91" s="23">
        <v>44470</v>
      </c>
      <c r="B91" s="24">
        <f>AVERAGE(Table4[[#This Row],[GDP]],Table4[[#This Row],[CPI]],Table4[[#This Row],[REPO RATE]])</f>
        <v>2.19245080498166</v>
      </c>
      <c r="C91" s="24">
        <f>AVERAGE(Table4[[#This Row],[INDIA VIX]],Table4[[#This Row],[GOLD/NIFTY]],Table4[[#This Row],[NIFTY PE RATIO]])</f>
        <v>2.8371486726378872</v>
      </c>
      <c r="D91" s="24">
        <f>AVERAGE(Table4[[#This Row],[USD/INR % CHANGE]],Table4[[#This Row],[OIL % CHANGE]],Table4[[#This Row],[Net FII (cr)]])</f>
        <v>5.5504768547425343</v>
      </c>
      <c r="E91" s="24">
        <f t="shared" si="2"/>
        <v>3.4899726603552246</v>
      </c>
      <c r="F91" s="25" t="str">
        <f t="shared" si="3"/>
        <v>Green</v>
      </c>
    </row>
    <row r="92" spans="1:8" x14ac:dyDescent="0.35">
      <c r="A92" s="23">
        <v>44501</v>
      </c>
      <c r="B92" s="24">
        <f>AVERAGE(Table4[[#This Row],[GDP]],Table4[[#This Row],[CPI]],Table4[[#This Row],[REPO RATE]])</f>
        <v>3.9832582454469194</v>
      </c>
      <c r="C92" s="24">
        <f>AVERAGE(Table4[[#This Row],[INDIA VIX]],Table4[[#This Row],[GOLD/NIFTY]],Table4[[#This Row],[NIFTY PE RATIO]])</f>
        <v>2.1615000121276675</v>
      </c>
      <c r="D92" s="24">
        <f>AVERAGE(Table4[[#This Row],[USD/INR % CHANGE]],Table4[[#This Row],[OIL % CHANGE]],Table4[[#This Row],[Net FII (cr)]])</f>
        <v>4.0318261436017275</v>
      </c>
      <c r="E92" s="24">
        <f t="shared" si="2"/>
        <v>3.1780374098996989</v>
      </c>
      <c r="F92" s="25" t="str">
        <f t="shared" si="3"/>
        <v>Green</v>
      </c>
    </row>
    <row r="93" spans="1:8" x14ac:dyDescent="0.35">
      <c r="A93" s="23">
        <v>44531</v>
      </c>
      <c r="B93" s="24">
        <f>AVERAGE(Table4[[#This Row],[GDP]],Table4[[#This Row],[CPI]],Table4[[#This Row],[REPO RATE]])</f>
        <v>4.1067761600413712</v>
      </c>
      <c r="C93" s="24">
        <f>AVERAGE(Table4[[#This Row],[INDIA VIX]],Table4[[#This Row],[GOLD/NIFTY]],Table4[[#This Row],[NIFTY PE RATIO]])</f>
        <v>3.1123235506260385</v>
      </c>
      <c r="D93" s="24">
        <f>AVERAGE(Table4[[#This Row],[USD/INR % CHANGE]],Table4[[#This Row],[OIL % CHANGE]],Table4[[#This Row],[Net FII (cr)]])</f>
        <v>5.8165301949522474</v>
      </c>
      <c r="E93" s="24">
        <f t="shared" si="2"/>
        <v>4.172198696277734</v>
      </c>
      <c r="F93" s="25" t="str">
        <f t="shared" si="3"/>
        <v>Green</v>
      </c>
    </row>
    <row r="94" spans="1:8" x14ac:dyDescent="0.35">
      <c r="A94" s="23">
        <v>44562</v>
      </c>
      <c r="B94" s="24">
        <f>AVERAGE(Table4[[#This Row],[GDP]],Table4[[#This Row],[CPI]],Table4[[#This Row],[REPO RATE]])</f>
        <v>5.3626391262427449</v>
      </c>
      <c r="C94" s="24">
        <f>AVERAGE(Table4[[#This Row],[INDIA VIX]],Table4[[#This Row],[GOLD/NIFTY]],Table4[[#This Row],[NIFTY PE RATIO]])</f>
        <v>1.8255716891299212</v>
      </c>
      <c r="D94" s="24">
        <f>AVERAGE(Table4[[#This Row],[USD/INR % CHANGE]],Table4[[#This Row],[OIL % CHANGE]],Table4[[#This Row],[Net FII (cr)]])</f>
        <v>7.8931514380514729</v>
      </c>
      <c r="E94" s="24">
        <f t="shared" si="2"/>
        <v>4.5301124730845928</v>
      </c>
      <c r="F94" s="25" t="str">
        <f t="shared" si="3"/>
        <v>Green</v>
      </c>
    </row>
    <row r="95" spans="1:8" x14ac:dyDescent="0.35">
      <c r="A95" s="23">
        <v>44593</v>
      </c>
      <c r="B95" s="24">
        <f>AVERAGE(Table4[[#This Row],[GDP]],Table4[[#This Row],[CPI]],Table4[[#This Row],[REPO RATE]])</f>
        <v>5.3531246775431454</v>
      </c>
      <c r="C95" s="24">
        <f>AVERAGE(Table4[[#This Row],[INDIA VIX]],Table4[[#This Row],[GOLD/NIFTY]],Table4[[#This Row],[NIFTY PE RATIO]])</f>
        <v>3.0588511177010216</v>
      </c>
      <c r="D95" s="24">
        <f>AVERAGE(Table4[[#This Row],[USD/INR % CHANGE]],Table4[[#This Row],[OIL % CHANGE]],Table4[[#This Row],[Net FII (cr)]])</f>
        <v>8.1659978207620565</v>
      </c>
      <c r="E95" s="24">
        <f t="shared" si="2"/>
        <v>5.1645635185798628</v>
      </c>
      <c r="F95" s="25" t="str">
        <f t="shared" si="3"/>
        <v>Amber</v>
      </c>
    </row>
    <row r="96" spans="1:8" x14ac:dyDescent="0.35">
      <c r="A96" s="23">
        <v>44621</v>
      </c>
      <c r="B96" s="24">
        <f>AVERAGE(Table4[[#This Row],[GDP]],Table4[[#This Row],[CPI]],Table4[[#This Row],[REPO RATE]])</f>
        <v>6.2416483226651351</v>
      </c>
      <c r="C96" s="24">
        <f>AVERAGE(Table4[[#This Row],[INDIA VIX]],Table4[[#This Row],[GOLD/NIFTY]],Table4[[#This Row],[NIFTY PE RATIO]])</f>
        <v>4.6426663756681661</v>
      </c>
      <c r="D96" s="24">
        <f>AVERAGE(Table4[[#This Row],[USD/INR % CHANGE]],Table4[[#This Row],[OIL % CHANGE]],Table4[[#This Row],[Net FII (cr)]])</f>
        <v>7.6132225952289616</v>
      </c>
      <c r="E96" s="24">
        <f t="shared" si="2"/>
        <v>5.9335787282856476</v>
      </c>
      <c r="F96" s="25" t="str">
        <f t="shared" si="3"/>
        <v>Amber</v>
      </c>
    </row>
    <row r="97" spans="1:6" x14ac:dyDescent="0.35">
      <c r="A97" s="23">
        <v>44652</v>
      </c>
      <c r="B97" s="24">
        <f>AVERAGE(Table4[[#This Row],[GDP]],Table4[[#This Row],[CPI]],Table4[[#This Row],[REPO RATE]])</f>
        <v>6.666666666666667</v>
      </c>
      <c r="C97" s="24">
        <f>AVERAGE(Table4[[#This Row],[INDIA VIX]],Table4[[#This Row],[GOLD/NIFTY]],Table4[[#This Row],[NIFTY PE RATIO]])</f>
        <v>2.8945589409459327</v>
      </c>
      <c r="D97" s="24">
        <f>AVERAGE(Table4[[#This Row],[USD/INR % CHANGE]],Table4[[#This Row],[OIL % CHANGE]],Table4[[#This Row],[Net FII (cr)]])</f>
        <v>7.3500600392330453</v>
      </c>
      <c r="E97" s="24">
        <f t="shared" si="2"/>
        <v>5.1742362018622501</v>
      </c>
      <c r="F97" s="25" t="str">
        <f t="shared" si="3"/>
        <v>Amber</v>
      </c>
    </row>
    <row r="98" spans="1:6" x14ac:dyDescent="0.35">
      <c r="A98" s="23">
        <v>44682</v>
      </c>
      <c r="B98" s="24">
        <f>AVERAGE(Table4[[#This Row],[GDP]],Table4[[#This Row],[CPI]],Table4[[#This Row],[REPO RATE]])</f>
        <v>6.1147242097218681</v>
      </c>
      <c r="C98" s="24">
        <f>AVERAGE(Table4[[#This Row],[INDIA VIX]],Table4[[#This Row],[GOLD/NIFTY]],Table4[[#This Row],[NIFTY PE RATIO]])</f>
        <v>2.2756403137782528</v>
      </c>
      <c r="D98" s="24">
        <f>AVERAGE(Table4[[#This Row],[USD/INR % CHANGE]],Table4[[#This Row],[OIL % CHANGE]],Table4[[#This Row],[Net FII (cr)]])</f>
        <v>7.8140738264017697</v>
      </c>
      <c r="E98" s="24">
        <f t="shared" si="2"/>
        <v>4.8969413415512122</v>
      </c>
      <c r="F98" s="25" t="str">
        <f t="shared" si="3"/>
        <v>Green</v>
      </c>
    </row>
    <row r="99" spans="1:6" x14ac:dyDescent="0.35">
      <c r="A99" s="23">
        <v>44713</v>
      </c>
      <c r="B99" s="24">
        <f>AVERAGE(Table4[[#This Row],[GDP]],Table4[[#This Row],[CPI]],Table4[[#This Row],[REPO RATE]])</f>
        <v>7.0245003170389664</v>
      </c>
      <c r="C99" s="24">
        <f>AVERAGE(Table4[[#This Row],[INDIA VIX]],Table4[[#This Row],[GOLD/NIFTY]],Table4[[#This Row],[NIFTY PE RATIO]])</f>
        <v>2.8037780658819655</v>
      </c>
      <c r="D99" s="24">
        <f>AVERAGE(Table4[[#This Row],[USD/INR % CHANGE]],Table4[[#This Row],[OIL % CHANGE]],Table4[[#This Row],[Net FII (cr)]])</f>
        <v>7.2341731370660396</v>
      </c>
      <c r="E99" s="24">
        <f t="shared" si="2"/>
        <v>5.1880771500264382</v>
      </c>
      <c r="F99" s="25" t="str">
        <f t="shared" si="3"/>
        <v>Amber</v>
      </c>
    </row>
    <row r="100" spans="1:6" x14ac:dyDescent="0.35">
      <c r="A100" s="23">
        <v>44743</v>
      </c>
      <c r="B100" s="24">
        <f>AVERAGE(Table4[[#This Row],[GDP]],Table4[[#This Row],[CPI]],Table4[[#This Row],[REPO RATE]])</f>
        <v>6.8303152035468742</v>
      </c>
      <c r="C100" s="24">
        <f>AVERAGE(Table4[[#This Row],[INDIA VIX]],Table4[[#This Row],[GOLD/NIFTY]],Table4[[#This Row],[NIFTY PE RATIO]])</f>
        <v>2.5222969677041891</v>
      </c>
      <c r="D100" s="24">
        <f>AVERAGE(Table4[[#This Row],[USD/INR % CHANGE]],Table4[[#This Row],[OIL % CHANGE]],Table4[[#This Row],[Net FII (cr)]])</f>
        <v>6.3849984616272479</v>
      </c>
      <c r="E100" s="24">
        <f t="shared" si="2"/>
        <v>4.7581119748417784</v>
      </c>
      <c r="F100" s="25" t="str">
        <f t="shared" si="3"/>
        <v>Green</v>
      </c>
    </row>
    <row r="101" spans="1:6" x14ac:dyDescent="0.35">
      <c r="A101" s="23">
        <v>44774</v>
      </c>
      <c r="B101" s="24">
        <f>AVERAGE(Table4[[#This Row],[GDP]],Table4[[#This Row],[CPI]],Table4[[#This Row],[REPO RATE]])</f>
        <v>5.9915493220305827</v>
      </c>
      <c r="C101" s="24">
        <f>AVERAGE(Table4[[#This Row],[INDIA VIX]],Table4[[#This Row],[GOLD/NIFTY]],Table4[[#This Row],[NIFTY PE RATIO]])</f>
        <v>1.2269264653026264</v>
      </c>
      <c r="D101" s="24">
        <f>AVERAGE(Table4[[#This Row],[USD/INR % CHANGE]],Table4[[#This Row],[OIL % CHANGE]],Table4[[#This Row],[Net FII (cr)]])</f>
        <v>4.3732387065826552</v>
      </c>
      <c r="E101" s="24">
        <f t="shared" si="2"/>
        <v>3.3619758518686238</v>
      </c>
      <c r="F101" s="25" t="str">
        <f t="shared" si="3"/>
        <v>Green</v>
      </c>
    </row>
    <row r="102" spans="1:6" x14ac:dyDescent="0.35">
      <c r="A102" s="23">
        <v>44805</v>
      </c>
      <c r="B102" s="24">
        <f>AVERAGE(Table4[[#This Row],[GDP]],Table4[[#This Row],[CPI]],Table4[[#This Row],[REPO RATE]])</f>
        <v>4.797779167446218</v>
      </c>
      <c r="C102" s="24">
        <f>AVERAGE(Table4[[#This Row],[INDIA VIX]],Table4[[#This Row],[GOLD/NIFTY]],Table4[[#This Row],[NIFTY PE RATIO]])</f>
        <v>1.6846172505097579</v>
      </c>
      <c r="D102" s="24">
        <f>AVERAGE(Table4[[#This Row],[USD/INR % CHANGE]],Table4[[#This Row],[OIL % CHANGE]],Table4[[#This Row],[Net FII (cr)]])</f>
        <v>3.9211422728065393</v>
      </c>
      <c r="E102" s="24">
        <f t="shared" si="2"/>
        <v>3.1338652364329072</v>
      </c>
      <c r="F102" s="25" t="str">
        <f t="shared" si="3"/>
        <v>Green</v>
      </c>
    </row>
    <row r="103" spans="1:6" x14ac:dyDescent="0.35">
      <c r="A103" s="23">
        <v>44835</v>
      </c>
      <c r="B103" s="24">
        <f>AVERAGE(Table4[[#This Row],[GDP]],Table4[[#This Row],[CPI]],Table4[[#This Row],[REPO RATE]])</f>
        <v>6.4779542033283475</v>
      </c>
      <c r="C103" s="24">
        <f>AVERAGE(Table4[[#This Row],[INDIA VIX]],Table4[[#This Row],[GOLD/NIFTY]],Table4[[#This Row],[NIFTY PE RATIO]])</f>
        <v>1.9531150226114455</v>
      </c>
      <c r="D103" s="24">
        <f>AVERAGE(Table4[[#This Row],[USD/INR % CHANGE]],Table4[[#This Row],[OIL % CHANGE]],Table4[[#This Row],[Net FII (cr)]])</f>
        <v>7.3595789521133694</v>
      </c>
      <c r="E103" s="24">
        <f t="shared" si="2"/>
        <v>4.7062639966412476</v>
      </c>
      <c r="F103" s="25" t="str">
        <f t="shared" si="3"/>
        <v>Green</v>
      </c>
    </row>
    <row r="104" spans="1:6" x14ac:dyDescent="0.35">
      <c r="A104" s="23">
        <v>44866</v>
      </c>
      <c r="B104" s="24">
        <f>AVERAGE(Table4[[#This Row],[GDP]],Table4[[#This Row],[CPI]],Table4[[#This Row],[REPO RATE]])</f>
        <v>5.8572122867024348</v>
      </c>
      <c r="C104" s="24">
        <f>AVERAGE(Table4[[#This Row],[INDIA VIX]],Table4[[#This Row],[GOLD/NIFTY]],Table4[[#This Row],[NIFTY PE RATIO]])</f>
        <v>1.4547056084506884</v>
      </c>
      <c r="D104" s="24">
        <f>AVERAGE(Table4[[#This Row],[USD/INR % CHANGE]],Table4[[#This Row],[OIL % CHANGE]],Table4[[#This Row],[Net FII (cr)]])</f>
        <v>3.3272834007915848</v>
      </c>
      <c r="E104" s="24">
        <f t="shared" si="2"/>
        <v>3.1171056157158938</v>
      </c>
      <c r="F104" s="25" t="str">
        <f t="shared" si="3"/>
        <v>Green</v>
      </c>
    </row>
    <row r="105" spans="1:6" x14ac:dyDescent="0.35">
      <c r="A105" s="23">
        <v>44896</v>
      </c>
      <c r="B105" s="24">
        <f>AVERAGE(Table4[[#This Row],[GDP]],Table4[[#This Row],[CPI]],Table4[[#This Row],[REPO RATE]])</f>
        <v>4.6550743017059055</v>
      </c>
      <c r="C105" s="24">
        <f>AVERAGE(Table4[[#This Row],[INDIA VIX]],Table4[[#This Row],[GOLD/NIFTY]],Table4[[#This Row],[NIFTY PE RATIO]])</f>
        <v>1.3168569166088526</v>
      </c>
      <c r="D105" s="24">
        <f>AVERAGE(Table4[[#This Row],[USD/INR % CHANGE]],Table4[[#This Row],[OIL % CHANGE]],Table4[[#This Row],[Net FII (cr)]])</f>
        <v>4.9412483400876939</v>
      </c>
      <c r="E105" s="24">
        <f t="shared" si="2"/>
        <v>3.2387286899267682</v>
      </c>
      <c r="F105" s="25" t="str">
        <f t="shared" si="3"/>
        <v>Green</v>
      </c>
    </row>
    <row r="106" spans="1:6" x14ac:dyDescent="0.35">
      <c r="A106" s="23">
        <v>44927</v>
      </c>
      <c r="B106" s="24">
        <f>AVERAGE(Table4[[#This Row],[GDP]],Table4[[#This Row],[CPI]],Table4[[#This Row],[REPO RATE]])</f>
        <v>6.1118043346553224</v>
      </c>
      <c r="C106" s="24">
        <f>AVERAGE(Table4[[#This Row],[INDIA VIX]],Table4[[#This Row],[GOLD/NIFTY]],Table4[[#This Row],[NIFTY PE RATIO]])</f>
        <v>1.6343718053022187</v>
      </c>
      <c r="D106" s="24">
        <f>AVERAGE(Table4[[#This Row],[USD/INR % CHANGE]],Table4[[#This Row],[OIL % CHANGE]],Table4[[#This Row],[Net FII (cr)]])</f>
        <v>3.8818185832956771</v>
      </c>
      <c r="E106" s="24">
        <f t="shared" si="2"/>
        <v>3.4279639710385323</v>
      </c>
      <c r="F106" s="25" t="str">
        <f t="shared" si="3"/>
        <v>Green</v>
      </c>
    </row>
    <row r="107" spans="1:6" x14ac:dyDescent="0.35">
      <c r="A107" s="23">
        <v>44958</v>
      </c>
      <c r="B107" s="24">
        <f>AVERAGE(Table4[[#This Row],[GDP]],Table4[[#This Row],[CPI]],Table4[[#This Row],[REPO RATE]])</f>
        <v>7.6105023951089414</v>
      </c>
      <c r="C107" s="24">
        <f>AVERAGE(Table4[[#This Row],[INDIA VIX]],Table4[[#This Row],[GOLD/NIFTY]],Table4[[#This Row],[NIFTY PE RATIO]])</f>
        <v>1.8190755241184402</v>
      </c>
      <c r="D107" s="24">
        <f>AVERAGE(Table4[[#This Row],[USD/INR % CHANGE]],Table4[[#This Row],[OIL % CHANGE]],Table4[[#This Row],[Net FII (cr)]])</f>
        <v>6.6982357861134361</v>
      </c>
      <c r="E107" s="24">
        <f t="shared" si="2"/>
        <v>4.7306803204645647</v>
      </c>
      <c r="F107" s="25" t="str">
        <f t="shared" si="3"/>
        <v>Green</v>
      </c>
    </row>
    <row r="108" spans="1:6" x14ac:dyDescent="0.35">
      <c r="A108" s="23">
        <v>44986</v>
      </c>
      <c r="B108" s="24">
        <f>AVERAGE(Table4[[#This Row],[GDP]],Table4[[#This Row],[CPI]],Table4[[#This Row],[REPO RATE]])</f>
        <v>6.2554069823684726</v>
      </c>
      <c r="C108" s="24">
        <f>AVERAGE(Table4[[#This Row],[INDIA VIX]],Table4[[#This Row],[GOLD/NIFTY]],Table4[[#This Row],[NIFTY PE RATIO]])</f>
        <v>1.6560517267526846</v>
      </c>
      <c r="D108" s="24">
        <f>AVERAGE(Table4[[#This Row],[USD/INR % CHANGE]],Table4[[#This Row],[OIL % CHANGE]],Table4[[#This Row],[Net FII (cr)]])</f>
        <v>4.4090247685617596</v>
      </c>
      <c r="E108" s="24">
        <f t="shared" si="2"/>
        <v>3.6317824531993539</v>
      </c>
      <c r="F108" s="25" t="str">
        <f t="shared" si="3"/>
        <v>Green</v>
      </c>
    </row>
    <row r="109" spans="1:6" x14ac:dyDescent="0.35">
      <c r="A109" s="23">
        <v>45017</v>
      </c>
      <c r="B109" s="24">
        <f>AVERAGE(Table4[[#This Row],[GDP]],Table4[[#This Row],[CPI]],Table4[[#This Row],[REPO RATE]])</f>
        <v>5.2422847498182179</v>
      </c>
      <c r="C109" s="24">
        <f>AVERAGE(Table4[[#This Row],[INDIA VIX]],Table4[[#This Row],[GOLD/NIFTY]],Table4[[#This Row],[NIFTY PE RATIO]])</f>
        <v>1.3551460215267832</v>
      </c>
      <c r="D109" s="24">
        <f>AVERAGE(Table4[[#This Row],[USD/INR % CHANGE]],Table4[[#This Row],[OIL % CHANGE]],Table4[[#This Row],[Net FII (cr)]])</f>
        <v>4.5603280311098606</v>
      </c>
      <c r="E109" s="24">
        <f t="shared" si="2"/>
        <v>3.2884853064745654</v>
      </c>
      <c r="F109" s="25" t="str">
        <f t="shared" si="3"/>
        <v>Green</v>
      </c>
    </row>
    <row r="110" spans="1:6" x14ac:dyDescent="0.35">
      <c r="A110" s="23">
        <v>45047</v>
      </c>
      <c r="B110" s="24">
        <f>AVERAGE(Table4[[#This Row],[GDP]],Table4[[#This Row],[CPI]],Table4[[#This Row],[REPO RATE]])</f>
        <v>4.695082505343728</v>
      </c>
      <c r="C110" s="24">
        <f>AVERAGE(Table4[[#This Row],[INDIA VIX]],Table4[[#This Row],[GOLD/NIFTY]],Table4[[#This Row],[NIFTY PE RATIO]])</f>
        <v>1.1402334221835739</v>
      </c>
      <c r="D110" s="24">
        <f>AVERAGE(Table4[[#This Row],[USD/INR % CHANGE]],Table4[[#This Row],[OIL % CHANGE]],Table4[[#This Row],[Net FII (cr)]])</f>
        <v>4.4939121573578458</v>
      </c>
      <c r="E110" s="24">
        <f t="shared" si="2"/>
        <v>3.035049313525894</v>
      </c>
      <c r="F110" s="25" t="str">
        <f t="shared" si="3"/>
        <v>Green</v>
      </c>
    </row>
    <row r="111" spans="1:6" x14ac:dyDescent="0.35">
      <c r="A111" s="23">
        <v>45078</v>
      </c>
      <c r="B111" s="24">
        <f>AVERAGE(Table4[[#This Row],[GDP]],Table4[[#This Row],[CPI]],Table4[[#This Row],[REPO RATE]])</f>
        <v>3.7578748574629457</v>
      </c>
      <c r="C111" s="24">
        <f>AVERAGE(Table4[[#This Row],[INDIA VIX]],Table4[[#This Row],[GOLD/NIFTY]],Table4[[#This Row],[NIFTY PE RATIO]])</f>
        <v>1.0268210829493256</v>
      </c>
      <c r="D111" s="24">
        <f>AVERAGE(Table4[[#This Row],[USD/INR % CHANGE]],Table4[[#This Row],[OIL % CHANGE]],Table4[[#This Row],[Net FII (cr)]])</f>
        <v>3.1844436565720216</v>
      </c>
      <c r="E111" s="24">
        <f t="shared" si="2"/>
        <v>2.3568712986645393</v>
      </c>
      <c r="F111" s="25" t="str">
        <f t="shared" si="3"/>
        <v>Green</v>
      </c>
    </row>
    <row r="112" spans="1:6" x14ac:dyDescent="0.35">
      <c r="A112" s="23">
        <v>45108</v>
      </c>
      <c r="B112" s="24">
        <f>AVERAGE(Table4[[#This Row],[GDP]],Table4[[#This Row],[CPI]],Table4[[#This Row],[REPO RATE]])</f>
        <v>5.3144727890296624</v>
      </c>
      <c r="C112" s="24">
        <f>AVERAGE(Table4[[#This Row],[INDIA VIX]],Table4[[#This Row],[GOLD/NIFTY]],Table4[[#This Row],[NIFTY PE RATIO]])</f>
        <v>1.1215128663066383</v>
      </c>
      <c r="D112" s="24">
        <f>AVERAGE(Table4[[#This Row],[USD/INR % CHANGE]],Table4[[#This Row],[OIL % CHANGE]],Table4[[#This Row],[Net FII (cr)]])</f>
        <v>4.6748091393251894</v>
      </c>
      <c r="E112" s="24">
        <f t="shared" si="2"/>
        <v>3.2357417288929593</v>
      </c>
      <c r="F112" s="25" t="str">
        <f t="shared" si="3"/>
        <v>Green</v>
      </c>
    </row>
    <row r="113" spans="1:6" x14ac:dyDescent="0.35">
      <c r="A113" s="23">
        <v>45139</v>
      </c>
      <c r="B113" s="24">
        <f>AVERAGE(Table4[[#This Row],[GDP]],Table4[[#This Row],[CPI]],Table4[[#This Row],[REPO RATE]])</f>
        <v>5.0683129044712185</v>
      </c>
      <c r="C113" s="24">
        <f>AVERAGE(Table4[[#This Row],[INDIA VIX]],Table4[[#This Row],[GOLD/NIFTY]],Table4[[#This Row],[NIFTY PE RATIO]])</f>
        <v>0.94952467244070304</v>
      </c>
      <c r="D113" s="24">
        <f>AVERAGE(Table4[[#This Row],[USD/INR % CHANGE]],Table4[[#This Row],[OIL % CHANGE]],Table4[[#This Row],[Net FII (cr)]])</f>
        <v>3.9118680229079037</v>
      </c>
      <c r="E113" s="24">
        <f t="shared" si="2"/>
        <v>2.8679247355884918</v>
      </c>
      <c r="F113" s="25" t="str">
        <f t="shared" si="3"/>
        <v>Green</v>
      </c>
    </row>
    <row r="114" spans="1:6" x14ac:dyDescent="0.35">
      <c r="A114" s="23">
        <v>45170</v>
      </c>
      <c r="B114" s="24">
        <f>AVERAGE(Table4[[#This Row],[GDP]],Table4[[#This Row],[CPI]],Table4[[#This Row],[REPO RATE]])</f>
        <v>4.9850200399330555</v>
      </c>
      <c r="C114" s="24">
        <f>AVERAGE(Table4[[#This Row],[INDIA VIX]],Table4[[#This Row],[GOLD/NIFTY]],Table4[[#This Row],[NIFTY PE RATIO]])</f>
        <v>0.71296798168343123</v>
      </c>
      <c r="D114" s="24">
        <f>AVERAGE(Table4[[#This Row],[USD/INR % CHANGE]],Table4[[#This Row],[OIL % CHANGE]],Table4[[#This Row],[Net FII (cr)]])</f>
        <v>5.3747460519451566</v>
      </c>
      <c r="E114" s="24">
        <f t="shared" si="2"/>
        <v>3.1795144173243548</v>
      </c>
      <c r="F114" s="25" t="str">
        <f t="shared" si="3"/>
        <v>Green</v>
      </c>
    </row>
    <row r="115" spans="1:6" x14ac:dyDescent="0.35">
      <c r="A115" s="23">
        <v>45200</v>
      </c>
      <c r="B115" s="24">
        <f>AVERAGE(Table4[[#This Row],[GDP]],Table4[[#This Row],[CPI]],Table4[[#This Row],[REPO RATE]])</f>
        <v>6.0905101681715896</v>
      </c>
      <c r="C115" s="24">
        <f>AVERAGE(Table4[[#This Row],[INDIA VIX]],Table4[[#This Row],[GOLD/NIFTY]],Table4[[#This Row],[NIFTY PE RATIO]])</f>
        <v>0.75690045515996307</v>
      </c>
      <c r="D115" s="24">
        <f>AVERAGE(Table4[[#This Row],[USD/INR % CHANGE]],Table4[[#This Row],[OIL % CHANGE]],Table4[[#This Row],[Net FII (cr)]])</f>
        <v>5.0404049775224244</v>
      </c>
      <c r="E115" s="24">
        <f t="shared" si="2"/>
        <v>3.3753542401216081</v>
      </c>
      <c r="F115" s="25" t="str">
        <f t="shared" si="3"/>
        <v>Green</v>
      </c>
    </row>
    <row r="116" spans="1:6" x14ac:dyDescent="0.35">
      <c r="A116" s="23">
        <v>45231</v>
      </c>
      <c r="B116" s="24">
        <f>AVERAGE(Table4[[#This Row],[GDP]],Table4[[#This Row],[CPI]],Table4[[#This Row],[REPO RATE]])</f>
        <v>6.6965813801035212</v>
      </c>
      <c r="C116" s="24">
        <f>AVERAGE(Table4[[#This Row],[INDIA VIX]],Table4[[#This Row],[GOLD/NIFTY]],Table4[[#This Row],[NIFTY PE RATIO]])</f>
        <v>0.92271195860629796</v>
      </c>
      <c r="D116" s="24">
        <f>AVERAGE(Table4[[#This Row],[USD/INR % CHANGE]],Table4[[#This Row],[OIL % CHANGE]],Table4[[#This Row],[Net FII (cr)]])</f>
        <v>5.3812302017090801</v>
      </c>
      <c r="E116" s="24">
        <f t="shared" si="2"/>
        <v>3.7037347869114381</v>
      </c>
      <c r="F116" s="25" t="str">
        <f t="shared" si="3"/>
        <v>Green</v>
      </c>
    </row>
    <row r="117" spans="1:6" x14ac:dyDescent="0.35">
      <c r="A117" s="23">
        <v>45261</v>
      </c>
      <c r="B117" s="24">
        <f>AVERAGE(Table4[[#This Row],[GDP]],Table4[[#This Row],[CPI]],Table4[[#This Row],[REPO RATE]])</f>
        <v>5.1963258194034347</v>
      </c>
      <c r="C117" s="24">
        <f>AVERAGE(Table4[[#This Row],[INDIA VIX]],Table4[[#This Row],[GOLD/NIFTY]],Table4[[#This Row],[NIFTY PE RATIO]])</f>
        <v>1.1765644871324474</v>
      </c>
      <c r="D117" s="24">
        <f>AVERAGE(Table4[[#This Row],[USD/INR % CHANGE]],Table4[[#This Row],[OIL % CHANGE]],Table4[[#This Row],[Net FII (cr)]])</f>
        <v>3.568466666358034</v>
      </c>
      <c r="E117" s="24">
        <f t="shared" si="2"/>
        <v>2.8990754739678701</v>
      </c>
      <c r="F117" s="25" t="str">
        <f t="shared" si="3"/>
        <v>Green</v>
      </c>
    </row>
    <row r="118" spans="1:6" x14ac:dyDescent="0.35">
      <c r="A118" s="23">
        <v>45292</v>
      </c>
      <c r="B118" s="24">
        <f>AVERAGE(Table4[[#This Row],[GDP]],Table4[[#This Row],[CPI]],Table4[[#This Row],[REPO RATE]])</f>
        <v>3.7660397388771307</v>
      </c>
      <c r="C118" s="24">
        <f>AVERAGE(Table4[[#This Row],[INDIA VIX]],Table4[[#This Row],[GOLD/NIFTY]],Table4[[#This Row],[NIFTY PE RATIO]])</f>
        <v>1.2804372296516113</v>
      </c>
      <c r="D118" s="24">
        <f>AVERAGE(Table4[[#This Row],[USD/INR % CHANGE]],Table4[[#This Row],[OIL % CHANGE]],Table4[[#This Row],[Net FII (cr)]])</f>
        <v>3.7115880577698328</v>
      </c>
      <c r="E118" s="24">
        <f t="shared" si="2"/>
        <v>2.6311831053934576</v>
      </c>
      <c r="F118" s="25" t="str">
        <f t="shared" si="3"/>
        <v>Green</v>
      </c>
    </row>
    <row r="119" spans="1:6" x14ac:dyDescent="0.35">
      <c r="A119" s="23">
        <v>45323</v>
      </c>
      <c r="B119" s="24">
        <f>AVERAGE(Table4[[#This Row],[GDP]],Table4[[#This Row],[CPI]],Table4[[#This Row],[REPO RATE]])</f>
        <v>5.9674866648145644</v>
      </c>
      <c r="C119" s="24">
        <f>AVERAGE(Table4[[#This Row],[INDIA VIX]],Table4[[#This Row],[GOLD/NIFTY]],Table4[[#This Row],[NIFTY PE RATIO]])</f>
        <v>1.5868166623387834</v>
      </c>
      <c r="D119" s="24">
        <f>AVERAGE(Table4[[#This Row],[USD/INR % CHANGE]],Table4[[#This Row],[OIL % CHANGE]],Table4[[#This Row],[Net FII (cr)]])</f>
        <v>5.2277756604630312</v>
      </c>
      <c r="E119" s="24">
        <f t="shared" si="2"/>
        <v>3.7742718623950031</v>
      </c>
      <c r="F119" s="25" t="str">
        <f t="shared" si="3"/>
        <v>Green</v>
      </c>
    </row>
    <row r="120" spans="1:6" ht="15" thickBot="1" x14ac:dyDescent="0.4">
      <c r="A120" s="27">
        <v>45352</v>
      </c>
      <c r="B120" s="28">
        <f>AVERAGE(Table4[[#This Row],[GDP]],Table4[[#This Row],[CPI]],Table4[[#This Row],[REPO RATE]])</f>
        <v>4.3687873037550373</v>
      </c>
      <c r="C120" s="28">
        <f>AVERAGE(Table4[[#This Row],[INDIA VIX]],Table4[[#This Row],[GOLD/NIFTY]],Table4[[#This Row],[NIFTY PE RATIO]])</f>
        <v>1.9794589100334281</v>
      </c>
      <c r="D120" s="28">
        <f>AVERAGE(Table4[[#This Row],[USD/INR % CHANGE]],Table4[[#This Row],[OIL % CHANGE]],Table4[[#This Row],[Net FII (cr)]])</f>
        <v>4.9760488533327942</v>
      </c>
      <c r="E120" s="28">
        <f t="shared" si="2"/>
        <v>3.4757679914536403</v>
      </c>
      <c r="F120" s="25" t="str">
        <f t="shared" si="3"/>
        <v>Green</v>
      </c>
    </row>
  </sheetData>
  <conditionalFormatting sqref="F1:F1048576">
    <cfRule type="cellIs" dxfId="22" priority="1" operator="equal">
      <formula>"red"</formula>
    </cfRule>
    <cfRule type="cellIs" dxfId="21" priority="2" operator="equal">
      <formula>"amber"</formula>
    </cfRule>
    <cfRule type="cellIs" dxfId="20" priority="3" operator="equal">
      <formula>"red"</formula>
    </cfRule>
    <cfRule type="cellIs" dxfId="19" priority="4" operator="equal">
      <formula>"green"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5572-1E7A-4AB5-959A-3AB4D9A293CD}">
  <dimension ref="A1:P34"/>
  <sheetViews>
    <sheetView topLeftCell="B1" zoomScale="80" zoomScaleNormal="80" workbookViewId="0">
      <selection activeCell="O18" sqref="O18"/>
    </sheetView>
  </sheetViews>
  <sheetFormatPr defaultRowHeight="14.5" x14ac:dyDescent="0.35"/>
  <cols>
    <col min="1" max="1" width="20.26953125" customWidth="1"/>
    <col min="2" max="2" width="20.26953125" style="22" customWidth="1"/>
    <col min="3" max="3" width="21.54296875" customWidth="1"/>
    <col min="4" max="4" width="17.26953125" customWidth="1"/>
    <col min="5" max="5" width="17.54296875" customWidth="1"/>
    <col min="6" max="6" width="13.81640625" customWidth="1"/>
    <col min="7" max="7" width="14.6328125" customWidth="1"/>
    <col min="8" max="8" width="13.6328125" customWidth="1"/>
    <col min="10" max="10" width="19.1796875" customWidth="1"/>
    <col min="11" max="11" width="11" customWidth="1"/>
    <col min="12" max="12" width="11.81640625" customWidth="1"/>
    <col min="13" max="13" width="14.90625" customWidth="1"/>
  </cols>
  <sheetData>
    <row r="1" spans="1:16" ht="15" thickBot="1" x14ac:dyDescent="0.4">
      <c r="A1" s="7" t="s">
        <v>61</v>
      </c>
      <c r="B1" s="18" t="s">
        <v>2</v>
      </c>
      <c r="C1" s="99" t="s">
        <v>5</v>
      </c>
      <c r="D1" s="99" t="s">
        <v>6</v>
      </c>
      <c r="E1" s="99" t="s">
        <v>7</v>
      </c>
      <c r="F1" s="99" t="s">
        <v>8</v>
      </c>
      <c r="G1" s="99" t="s">
        <v>60</v>
      </c>
      <c r="H1" s="3" t="s">
        <v>10</v>
      </c>
      <c r="J1" s="120"/>
      <c r="K1" s="120"/>
      <c r="L1" s="120"/>
      <c r="M1" s="120"/>
      <c r="N1" s="120"/>
      <c r="O1" s="120"/>
      <c r="P1" s="120"/>
    </row>
    <row r="2" spans="1:16" ht="19" thickBot="1" x14ac:dyDescent="0.5">
      <c r="A2" s="96" t="s">
        <v>56</v>
      </c>
      <c r="B2" s="112">
        <v>42675</v>
      </c>
      <c r="C2" s="102">
        <v>-4.65E-2</v>
      </c>
      <c r="D2" s="103">
        <v>-4.5900000000000003E-2</v>
      </c>
      <c r="E2" s="103">
        <v>5.0000000000000001E-4</v>
      </c>
      <c r="F2" s="103">
        <v>-4.9799999999999997E-2</v>
      </c>
      <c r="G2" s="103">
        <v>-9.3200000000000005E-2</v>
      </c>
      <c r="H2" s="103">
        <v>2.87E-2</v>
      </c>
      <c r="J2" s="135" t="s">
        <v>69</v>
      </c>
      <c r="K2" s="136"/>
      <c r="L2" s="136"/>
      <c r="M2" s="136"/>
      <c r="N2" s="136"/>
      <c r="O2" s="136"/>
      <c r="P2" s="137"/>
    </row>
    <row r="3" spans="1:16" ht="15" thickBot="1" x14ac:dyDescent="0.4">
      <c r="A3" s="96"/>
      <c r="B3" s="112">
        <v>42705</v>
      </c>
      <c r="C3" s="104">
        <v>-4.7000000000000002E-3</v>
      </c>
      <c r="D3" s="101">
        <v>-2.4199999999999999E-2</v>
      </c>
      <c r="E3" s="101">
        <v>3.09E-2</v>
      </c>
      <c r="F3" s="101">
        <v>-3.0599999999999999E-2</v>
      </c>
      <c r="G3" s="101">
        <v>4.3099999999999999E-2</v>
      </c>
      <c r="H3" s="101">
        <v>-9.4000000000000004E-3</v>
      </c>
      <c r="J3" s="121" t="s">
        <v>62</v>
      </c>
      <c r="K3" s="122" t="s">
        <v>48</v>
      </c>
      <c r="L3" s="122" t="s">
        <v>70</v>
      </c>
      <c r="M3" s="122" t="s">
        <v>50</v>
      </c>
      <c r="N3" s="122" t="s">
        <v>51</v>
      </c>
      <c r="O3" s="122" t="s">
        <v>52</v>
      </c>
      <c r="P3" s="123" t="s">
        <v>10</v>
      </c>
    </row>
    <row r="4" spans="1:16" ht="15" thickBot="1" x14ac:dyDescent="0.4">
      <c r="A4" s="96"/>
      <c r="B4" s="112">
        <v>42736</v>
      </c>
      <c r="C4" s="105">
        <v>4.5900000000000003E-2</v>
      </c>
      <c r="D4" s="100">
        <v>7.3599999999999999E-2</v>
      </c>
      <c r="E4" s="100">
        <v>-5.2999999999999999E-2</v>
      </c>
      <c r="F4" s="100">
        <v>2.58E-2</v>
      </c>
      <c r="G4" s="100">
        <v>-1.61E-2</v>
      </c>
      <c r="H4" s="100">
        <v>-6.7000000000000002E-3</v>
      </c>
      <c r="J4" s="124" t="s">
        <v>63</v>
      </c>
      <c r="K4" s="125">
        <f>SUM(C2:C6)</f>
        <v>6.5000000000000002E-2</v>
      </c>
      <c r="L4" s="125">
        <f>SUM(D2:D6)</f>
        <v>0.10009999999999999</v>
      </c>
      <c r="M4" s="125">
        <f>SUM(E2:E6)</f>
        <v>6.5000000000000016E-2</v>
      </c>
      <c r="N4" s="125">
        <f>SUM(F2:F6)</f>
        <v>-6.0399999999999995E-2</v>
      </c>
      <c r="O4" s="125">
        <f>SUM(G2:G6)</f>
        <v>-2.4800000000000006E-2</v>
      </c>
      <c r="P4" s="126">
        <f>SUM(H2:H6)</f>
        <v>-2.6800000000000004E-2</v>
      </c>
    </row>
    <row r="5" spans="1:16" ht="15" thickBot="1" x14ac:dyDescent="0.4">
      <c r="A5" s="96"/>
      <c r="B5" s="112">
        <v>42767</v>
      </c>
      <c r="C5" s="104">
        <v>3.7199999999999997E-2</v>
      </c>
      <c r="D5" s="101">
        <v>5.6000000000000001E-2</v>
      </c>
      <c r="E5" s="101">
        <v>8.4500000000000006E-2</v>
      </c>
      <c r="F5" s="101">
        <v>2.7199999999999998E-2</v>
      </c>
      <c r="G5" s="101">
        <v>7.2300000000000003E-2</v>
      </c>
      <c r="H5" s="101">
        <v>-1.17E-2</v>
      </c>
      <c r="J5" s="124" t="s">
        <v>64</v>
      </c>
      <c r="K5" s="125">
        <f>SUM(C7:C13)</f>
        <v>2.3999999999999994E-3</v>
      </c>
      <c r="L5" s="125">
        <f>SUM(D7:D13)</f>
        <v>9.7900000000000001E-2</v>
      </c>
      <c r="M5" s="125">
        <f>SUM(E7:E13)</f>
        <v>-6.9999999999999975E-3</v>
      </c>
      <c r="N5" s="125">
        <f>SUM(F7:F13)</f>
        <v>4.299999999999999E-2</v>
      </c>
      <c r="O5" s="125">
        <f>SUM(G7:G13)</f>
        <v>-7.7199999999999991E-2</v>
      </c>
      <c r="P5" s="126">
        <f>SUM(H7:H13)</f>
        <v>-2.3300000000000001E-2</v>
      </c>
    </row>
    <row r="6" spans="1:16" ht="15" thickBot="1" x14ac:dyDescent="0.4">
      <c r="A6" s="97"/>
      <c r="B6" s="113">
        <v>42795</v>
      </c>
      <c r="C6" s="106">
        <v>3.3099999999999997E-2</v>
      </c>
      <c r="D6" s="107">
        <v>4.0599999999999997E-2</v>
      </c>
      <c r="E6" s="107">
        <v>2.0999999999999999E-3</v>
      </c>
      <c r="F6" s="107">
        <v>-3.3000000000000002E-2</v>
      </c>
      <c r="G6" s="107">
        <v>-3.09E-2</v>
      </c>
      <c r="H6" s="107">
        <v>-2.7699999999999999E-2</v>
      </c>
      <c r="J6" s="124" t="s">
        <v>58</v>
      </c>
      <c r="K6" s="125">
        <f>SUM(C14:C20)</f>
        <v>8.9999999999997721E-4</v>
      </c>
      <c r="L6" s="125">
        <f>SUM(D14:D20)</f>
        <v>-0.15920000000000001</v>
      </c>
      <c r="M6" s="125">
        <f>SUM(E14:E20)</f>
        <v>0.14989999999999998</v>
      </c>
      <c r="N6" s="125">
        <f>SUM(F14:F20)</f>
        <v>0.24890000000000001</v>
      </c>
      <c r="O6" s="125">
        <f>SUM(G14:G20)</f>
        <v>-7.9899999999999999E-2</v>
      </c>
      <c r="P6" s="126">
        <f>SUM(H14:H20)</f>
        <v>2.4700000000000003E-2</v>
      </c>
    </row>
    <row r="7" spans="1:16" ht="15" thickBot="1" x14ac:dyDescent="0.4">
      <c r="A7" s="98" t="s">
        <v>57</v>
      </c>
      <c r="B7" s="114">
        <v>43344</v>
      </c>
      <c r="C7" s="102">
        <v>-6.4199999999999993E-2</v>
      </c>
      <c r="D7" s="103">
        <v>-0.1048</v>
      </c>
      <c r="E7" s="103">
        <v>1.6999999999999999E-3</v>
      </c>
      <c r="F7" s="103">
        <v>-6.9999999999999999E-4</v>
      </c>
      <c r="G7" s="103">
        <v>9.1999999999999998E-3</v>
      </c>
      <c r="H7" s="103">
        <v>2.1100000000000001E-2</v>
      </c>
      <c r="J7" s="124" t="s">
        <v>65</v>
      </c>
      <c r="K7" s="127">
        <f>SUM(C21:C32)</f>
        <v>4.080000000000001E-2</v>
      </c>
      <c r="L7" s="127">
        <f>SUM(D21:D32)</f>
        <v>0.12200000000000001</v>
      </c>
      <c r="M7" s="127">
        <f>SUM(E21:E32)</f>
        <v>-0.1075</v>
      </c>
      <c r="N7" s="127">
        <f>SUM(F21:F32)</f>
        <v>8.7400000000000005E-2</v>
      </c>
      <c r="O7" s="127">
        <f>SUM(G21:G32)</f>
        <v>9.9699999999999997E-2</v>
      </c>
      <c r="P7" s="128">
        <f>SUM(H21:H32)</f>
        <v>9.1799999999999979E-2</v>
      </c>
    </row>
    <row r="8" spans="1:16" x14ac:dyDescent="0.35">
      <c r="A8" s="96"/>
      <c r="B8" s="23">
        <v>43374</v>
      </c>
      <c r="C8" s="104">
        <v>-4.9799999999999997E-2</v>
      </c>
      <c r="D8" s="101">
        <v>1.2999999999999999E-3</v>
      </c>
      <c r="E8" s="101">
        <v>-5.67E-2</v>
      </c>
      <c r="F8" s="101">
        <v>4.9700000000000001E-2</v>
      </c>
      <c r="G8" s="101">
        <v>-2.1299999999999999E-2</v>
      </c>
      <c r="H8" s="101">
        <v>0.02</v>
      </c>
      <c r="J8" s="57"/>
      <c r="K8" s="95"/>
      <c r="L8" s="22"/>
      <c r="M8" s="22"/>
      <c r="N8" s="22"/>
      <c r="O8" s="22"/>
      <c r="P8" s="22"/>
    </row>
    <row r="9" spans="1:16" ht="15" thickBot="1" x14ac:dyDescent="0.4">
      <c r="A9" s="96"/>
      <c r="B9" s="23">
        <v>43405</v>
      </c>
      <c r="C9" s="105">
        <v>4.7199999999999999E-2</v>
      </c>
      <c r="D9" s="100">
        <v>6.8000000000000005E-2</v>
      </c>
      <c r="E9" s="100">
        <v>-2.0199999999999999E-2</v>
      </c>
      <c r="F9" s="100">
        <v>-4.8800000000000003E-2</v>
      </c>
      <c r="G9" s="100">
        <v>-3.1300000000000001E-2</v>
      </c>
      <c r="H9" s="100">
        <v>-5.8299999999999998E-2</v>
      </c>
      <c r="J9" s="57"/>
      <c r="K9" s="22"/>
      <c r="L9" s="22"/>
      <c r="M9" s="22"/>
      <c r="N9" s="22"/>
      <c r="O9" s="22"/>
      <c r="P9" s="22"/>
    </row>
    <row r="10" spans="1:16" ht="19" thickBot="1" x14ac:dyDescent="0.5">
      <c r="A10" s="96"/>
      <c r="B10" s="23">
        <v>43435</v>
      </c>
      <c r="C10" s="104">
        <v>-1.2999999999999999E-3</v>
      </c>
      <c r="D10" s="101">
        <v>1.11E-2</v>
      </c>
      <c r="E10" s="101">
        <v>-1.35E-2</v>
      </c>
      <c r="F10" s="101">
        <v>3.8399999999999997E-2</v>
      </c>
      <c r="G10" s="101">
        <v>-3.1199999999999999E-2</v>
      </c>
      <c r="H10" s="101">
        <v>-1.1000000000000001E-3</v>
      </c>
      <c r="J10" s="135" t="s">
        <v>71</v>
      </c>
      <c r="K10" s="136"/>
      <c r="L10" s="136"/>
      <c r="M10" s="136"/>
      <c r="N10" s="137"/>
      <c r="O10" s="22"/>
      <c r="P10" s="22"/>
    </row>
    <row r="11" spans="1:16" ht="15" thickBot="1" x14ac:dyDescent="0.4">
      <c r="A11" s="96"/>
      <c r="B11" s="23">
        <v>43466</v>
      </c>
      <c r="C11" s="105">
        <v>-2.8999999999999998E-3</v>
      </c>
      <c r="D11" s="100">
        <v>5.0000000000000001E-3</v>
      </c>
      <c r="E11" s="100">
        <v>7.3300000000000004E-2</v>
      </c>
      <c r="F11" s="100">
        <v>4.7399999999999998E-2</v>
      </c>
      <c r="G11" s="100">
        <v>1.5299999999999999E-2</v>
      </c>
      <c r="H11" s="100">
        <v>0.02</v>
      </c>
      <c r="J11" s="129" t="s">
        <v>62</v>
      </c>
      <c r="K11" s="122" t="s">
        <v>66</v>
      </c>
      <c r="L11" s="122" t="s">
        <v>67</v>
      </c>
      <c r="M11" s="122" t="s">
        <v>68</v>
      </c>
      <c r="N11" s="123" t="s">
        <v>67</v>
      </c>
      <c r="O11" s="120"/>
      <c r="P11" s="120"/>
    </row>
    <row r="12" spans="1:16" ht="15" thickBot="1" x14ac:dyDescent="0.4">
      <c r="A12" s="96"/>
      <c r="B12" s="23">
        <v>43497</v>
      </c>
      <c r="C12" s="104">
        <v>-3.5999999999999999E-3</v>
      </c>
      <c r="D12" s="101">
        <v>-1.8499999999999999E-2</v>
      </c>
      <c r="E12" s="101">
        <v>1.4999999999999999E-2</v>
      </c>
      <c r="F12" s="101">
        <v>5.1999999999999998E-3</v>
      </c>
      <c r="G12" s="101">
        <v>1.44E-2</v>
      </c>
      <c r="H12" s="101">
        <v>-1.6999999999999999E-3</v>
      </c>
      <c r="J12" s="124" t="s">
        <v>63</v>
      </c>
      <c r="K12" s="130" t="s">
        <v>70</v>
      </c>
      <c r="L12" s="125">
        <f>MAX(K4:P4)</f>
        <v>0.10009999999999999</v>
      </c>
      <c r="M12" s="130" t="s">
        <v>51</v>
      </c>
      <c r="N12" s="126">
        <f>MIN(M4:R4)</f>
        <v>-6.0399999999999995E-2</v>
      </c>
      <c r="O12" s="131"/>
      <c r="P12" s="131"/>
    </row>
    <row r="13" spans="1:16" ht="15" thickBot="1" x14ac:dyDescent="0.4">
      <c r="A13" s="97"/>
      <c r="B13" s="27">
        <v>43525</v>
      </c>
      <c r="C13" s="106">
        <v>7.6999999999999999E-2</v>
      </c>
      <c r="D13" s="107">
        <v>0.1358</v>
      </c>
      <c r="E13" s="107">
        <v>-6.6E-3</v>
      </c>
      <c r="F13" s="107">
        <v>-4.82E-2</v>
      </c>
      <c r="G13" s="107">
        <v>-3.2300000000000002E-2</v>
      </c>
      <c r="H13" s="107">
        <v>-2.3300000000000001E-2</v>
      </c>
      <c r="J13" s="124" t="s">
        <v>64</v>
      </c>
      <c r="K13" s="130" t="s">
        <v>70</v>
      </c>
      <c r="L13" s="125">
        <f>MAX(K5:P5)</f>
        <v>9.7900000000000001E-2</v>
      </c>
      <c r="M13" s="130" t="s">
        <v>52</v>
      </c>
      <c r="N13" s="126">
        <f>MIN(K5:P5)</f>
        <v>-7.7199999999999991E-2</v>
      </c>
      <c r="O13" s="131"/>
      <c r="P13" s="131"/>
    </row>
    <row r="14" spans="1:16" ht="15" thickBot="1" x14ac:dyDescent="0.4">
      <c r="A14" s="98" t="s">
        <v>58</v>
      </c>
      <c r="B14" s="115">
        <v>43862</v>
      </c>
      <c r="C14" s="108">
        <v>-6.3600000000000004E-2</v>
      </c>
      <c r="D14" s="109">
        <v>-5.4699999999999999E-2</v>
      </c>
      <c r="E14" s="109">
        <v>-5.7700000000000001E-2</v>
      </c>
      <c r="F14" s="109">
        <v>4.1799999999999997E-2</v>
      </c>
      <c r="G14" s="109">
        <v>-3.4599999999999999E-2</v>
      </c>
      <c r="H14" s="109">
        <v>1.3899999999999999E-2</v>
      </c>
      <c r="J14" s="124" t="s">
        <v>58</v>
      </c>
      <c r="K14" s="130" t="s">
        <v>51</v>
      </c>
      <c r="L14" s="125">
        <f>MAX(K6:P6)</f>
        <v>0.24890000000000001</v>
      </c>
      <c r="M14" s="130" t="s">
        <v>70</v>
      </c>
      <c r="N14" s="126">
        <f>MIN(K6:P6)</f>
        <v>-0.15920000000000001</v>
      </c>
      <c r="O14" s="131"/>
      <c r="P14" s="131"/>
    </row>
    <row r="15" spans="1:16" ht="15" thickBot="1" x14ac:dyDescent="0.4">
      <c r="A15" s="96"/>
      <c r="B15" s="23">
        <v>43891</v>
      </c>
      <c r="C15" s="105">
        <v>-0.23250000000000001</v>
      </c>
      <c r="D15" s="100">
        <v>-0.34320000000000001</v>
      </c>
      <c r="E15" s="100">
        <v>-0.161</v>
      </c>
      <c r="F15" s="100">
        <v>2.2499999999999999E-2</v>
      </c>
      <c r="G15" s="100">
        <v>-3.6600000000000001E-2</v>
      </c>
      <c r="H15" s="100">
        <v>3.8600000000000002E-2</v>
      </c>
      <c r="J15" s="132" t="s">
        <v>65</v>
      </c>
      <c r="K15" s="133" t="s">
        <v>70</v>
      </c>
      <c r="L15" s="127">
        <f>MAX(K7:P7)</f>
        <v>0.12200000000000001</v>
      </c>
      <c r="M15" s="133" t="s">
        <v>7</v>
      </c>
      <c r="N15" s="76">
        <f>MIN(K7:P7)</f>
        <v>-0.1075</v>
      </c>
      <c r="O15" s="131"/>
      <c r="P15" s="131"/>
    </row>
    <row r="16" spans="1:16" x14ac:dyDescent="0.35">
      <c r="A16" s="96"/>
      <c r="B16" s="23">
        <v>43922</v>
      </c>
      <c r="C16" s="104">
        <v>0.14680000000000001</v>
      </c>
      <c r="D16" s="101">
        <v>0.1249</v>
      </c>
      <c r="E16" s="101">
        <v>0.10539999999999999</v>
      </c>
      <c r="F16" s="101">
        <v>0.11409999999999999</v>
      </c>
      <c r="G16" s="101">
        <v>-4.5999999999999999E-3</v>
      </c>
      <c r="H16" s="101">
        <v>-3.3999999999999998E-3</v>
      </c>
      <c r="J16" s="22"/>
      <c r="K16" s="22"/>
      <c r="L16" s="22"/>
      <c r="M16" s="22"/>
      <c r="N16" s="22"/>
      <c r="O16" s="22"/>
      <c r="P16" s="22"/>
    </row>
    <row r="17" spans="1:16" x14ac:dyDescent="0.35">
      <c r="A17" s="96"/>
      <c r="B17" s="23">
        <v>43952</v>
      </c>
      <c r="C17" s="105">
        <v>-2.8400000000000002E-2</v>
      </c>
      <c r="D17" s="100">
        <v>-0.10390000000000001</v>
      </c>
      <c r="E17" s="100">
        <v>-6.8999999999999999E-3</v>
      </c>
      <c r="F17" s="100">
        <v>-3.7100000000000001E-2</v>
      </c>
      <c r="G17" s="100">
        <v>-1.5900000000000001E-2</v>
      </c>
      <c r="H17" s="100">
        <v>6.7999999999999996E-3</v>
      </c>
      <c r="J17" s="120"/>
      <c r="K17" s="120"/>
      <c r="L17" s="120"/>
      <c r="M17" s="120"/>
      <c r="N17" s="120"/>
      <c r="O17" s="22"/>
      <c r="P17" s="22"/>
    </row>
    <row r="18" spans="1:16" x14ac:dyDescent="0.35">
      <c r="A18" s="96"/>
      <c r="B18" s="23">
        <v>43983</v>
      </c>
      <c r="C18" s="104">
        <v>7.5300000000000006E-2</v>
      </c>
      <c r="D18" s="101">
        <v>0.1074</v>
      </c>
      <c r="E18" s="101">
        <v>5.3100000000000001E-2</v>
      </c>
      <c r="F18" s="101">
        <v>3.95E-2</v>
      </c>
      <c r="G18" s="101">
        <v>-2.0799999999999999E-2</v>
      </c>
      <c r="H18" s="101">
        <v>-6.9999999999999999E-4</v>
      </c>
      <c r="J18" s="130"/>
      <c r="K18" s="134"/>
      <c r="L18" s="130"/>
      <c r="M18" s="130"/>
      <c r="N18" s="130"/>
      <c r="O18" s="22"/>
      <c r="P18" s="22"/>
    </row>
    <row r="19" spans="1:16" x14ac:dyDescent="0.35">
      <c r="A19" s="96"/>
      <c r="B19" s="23">
        <v>44013</v>
      </c>
      <c r="C19" s="105">
        <v>7.4899999999999994E-2</v>
      </c>
      <c r="D19" s="100">
        <v>1.26E-2</v>
      </c>
      <c r="E19" s="100">
        <v>0.22489999999999999</v>
      </c>
      <c r="F19" s="100">
        <v>0.10630000000000001</v>
      </c>
      <c r="G19" s="100">
        <v>-8.6999999999999994E-3</v>
      </c>
      <c r="H19" s="100">
        <v>-8.3000000000000001E-3</v>
      </c>
      <c r="J19" s="130"/>
      <c r="K19" s="134"/>
      <c r="L19" s="130"/>
      <c r="M19" s="130"/>
      <c r="N19" s="130"/>
      <c r="O19" s="22"/>
      <c r="P19" s="22"/>
    </row>
    <row r="20" spans="1:16" ht="15" thickBot="1" x14ac:dyDescent="0.4">
      <c r="A20" s="97"/>
      <c r="B20" s="27">
        <v>44044</v>
      </c>
      <c r="C20" s="110">
        <v>2.8400000000000002E-2</v>
      </c>
      <c r="D20" s="111">
        <v>9.7699999999999995E-2</v>
      </c>
      <c r="E20" s="111">
        <v>-7.9000000000000008E-3</v>
      </c>
      <c r="F20" s="111">
        <v>-3.8199999999999998E-2</v>
      </c>
      <c r="G20" s="111">
        <v>4.1300000000000003E-2</v>
      </c>
      <c r="H20" s="111">
        <v>-2.2200000000000001E-2</v>
      </c>
      <c r="J20" s="130"/>
      <c r="K20" s="134"/>
      <c r="L20" s="130"/>
      <c r="M20" s="130"/>
      <c r="N20" s="130"/>
      <c r="O20" s="22"/>
      <c r="P20" s="22"/>
    </row>
    <row r="21" spans="1:16" x14ac:dyDescent="0.35">
      <c r="A21" s="96" t="s">
        <v>59</v>
      </c>
      <c r="B21" s="23">
        <v>44621</v>
      </c>
      <c r="C21" s="102">
        <v>3.9899999999999998E-2</v>
      </c>
      <c r="D21" s="103">
        <v>4.5999999999999999E-3</v>
      </c>
      <c r="E21" s="103">
        <v>7.2999999999999995E-2</v>
      </c>
      <c r="F21" s="103">
        <v>1.2200000000000001E-2</v>
      </c>
      <c r="G21" s="103">
        <v>1.0800000000000001E-2</v>
      </c>
      <c r="H21" s="103">
        <v>5.4000000000000003E-3</v>
      </c>
      <c r="J21" s="130"/>
      <c r="K21" s="130"/>
      <c r="L21" s="37"/>
      <c r="M21" s="37"/>
      <c r="N21" s="37"/>
      <c r="O21" s="22"/>
      <c r="P21" s="22"/>
    </row>
    <row r="22" spans="1:16" x14ac:dyDescent="0.35">
      <c r="A22" s="96"/>
      <c r="B22" s="23">
        <v>44652</v>
      </c>
      <c r="C22" s="104">
        <v>-2.07E-2</v>
      </c>
      <c r="D22" s="101">
        <v>-7.7999999999999996E-3</v>
      </c>
      <c r="E22" s="101">
        <v>-0.1293</v>
      </c>
      <c r="F22" s="101">
        <v>1.52E-2</v>
      </c>
      <c r="G22" s="101">
        <v>4.3299999999999998E-2</v>
      </c>
      <c r="H22" s="101">
        <v>8.2000000000000007E-3</v>
      </c>
      <c r="J22" s="37"/>
      <c r="K22" s="37"/>
      <c r="L22" s="37"/>
      <c r="M22" s="37"/>
      <c r="N22" s="37"/>
      <c r="O22" s="22"/>
      <c r="P22" s="22"/>
    </row>
    <row r="23" spans="1:16" x14ac:dyDescent="0.35">
      <c r="A23" s="96"/>
      <c r="B23" s="23">
        <v>44682</v>
      </c>
      <c r="C23" s="105">
        <v>-3.0300000000000001E-2</v>
      </c>
      <c r="D23" s="100">
        <v>-1.66E-2</v>
      </c>
      <c r="E23" s="100">
        <v>-6.1499999999999999E-2</v>
      </c>
      <c r="F23" s="100">
        <v>-1.8800000000000001E-2</v>
      </c>
      <c r="G23" s="100">
        <v>3.8699999999999998E-2</v>
      </c>
      <c r="H23" s="100">
        <v>1.37E-2</v>
      </c>
      <c r="O23" s="22"/>
      <c r="P23" s="22"/>
    </row>
    <row r="24" spans="1:16" x14ac:dyDescent="0.35">
      <c r="A24" s="96"/>
      <c r="B24" s="23">
        <v>44713</v>
      </c>
      <c r="C24" s="104">
        <v>-4.8500000000000001E-2</v>
      </c>
      <c r="D24" s="101">
        <v>-5.8099999999999999E-2</v>
      </c>
      <c r="E24" s="101">
        <v>-6.1899999999999997E-2</v>
      </c>
      <c r="F24" s="101">
        <v>-4.3E-3</v>
      </c>
      <c r="G24" s="101">
        <v>4.7000000000000002E-3</v>
      </c>
      <c r="H24" s="101">
        <v>1.78E-2</v>
      </c>
      <c r="O24" s="22"/>
      <c r="P24" s="22"/>
    </row>
    <row r="25" spans="1:16" x14ac:dyDescent="0.35">
      <c r="A25" s="96"/>
      <c r="B25" s="23">
        <v>44743</v>
      </c>
      <c r="C25" s="105">
        <v>8.7300000000000003E-2</v>
      </c>
      <c r="D25" s="100">
        <v>0.1217</v>
      </c>
      <c r="E25" s="100">
        <v>4.7E-2</v>
      </c>
      <c r="F25" s="100">
        <v>6.8999999999999999E-3</v>
      </c>
      <c r="G25" s="100">
        <v>-1.7399999999999999E-2</v>
      </c>
      <c r="H25" s="100">
        <v>4.8999999999999998E-3</v>
      </c>
      <c r="O25" s="22"/>
      <c r="P25" s="22"/>
    </row>
    <row r="26" spans="1:16" x14ac:dyDescent="0.35">
      <c r="A26" s="96"/>
      <c r="B26" s="23">
        <v>44774</v>
      </c>
      <c r="C26" s="104">
        <v>3.5000000000000003E-2</v>
      </c>
      <c r="D26" s="101">
        <v>5.4600000000000003E-2</v>
      </c>
      <c r="E26" s="101">
        <v>-2.5499999999999998E-2</v>
      </c>
      <c r="F26" s="101">
        <v>-3.5999999999999999E-3</v>
      </c>
      <c r="G26" s="101">
        <v>-1.7999999999999999E-2</v>
      </c>
      <c r="H26" s="101">
        <v>2E-3</v>
      </c>
    </row>
    <row r="27" spans="1:16" x14ac:dyDescent="0.35">
      <c r="A27" s="96"/>
      <c r="B27" s="23">
        <v>44805</v>
      </c>
      <c r="C27" s="105">
        <v>-3.7400000000000003E-2</v>
      </c>
      <c r="D27" s="100">
        <v>-2.29E-2</v>
      </c>
      <c r="E27" s="100">
        <v>-5.0200000000000002E-2</v>
      </c>
      <c r="F27" s="100">
        <v>-1.6899999999999998E-2</v>
      </c>
      <c r="G27" s="100">
        <v>2.92E-2</v>
      </c>
      <c r="H27" s="100">
        <v>2.5399999999999999E-2</v>
      </c>
    </row>
    <row r="28" spans="1:16" x14ac:dyDescent="0.35">
      <c r="A28" s="96"/>
      <c r="B28" s="23">
        <v>44835</v>
      </c>
      <c r="C28" s="104">
        <v>5.3699999999999998E-2</v>
      </c>
      <c r="D28" s="101">
        <v>6.93E-2</v>
      </c>
      <c r="E28" s="101">
        <v>6.4699999999999994E-2</v>
      </c>
      <c r="F28" s="101">
        <v>1.6000000000000001E-3</v>
      </c>
      <c r="G28" s="101">
        <v>6.4000000000000003E-3</v>
      </c>
      <c r="H28" s="101">
        <v>1.55E-2</v>
      </c>
    </row>
    <row r="29" spans="1:16" x14ac:dyDescent="0.35">
      <c r="A29" s="96"/>
      <c r="B29" s="23">
        <v>44866</v>
      </c>
      <c r="C29" s="105">
        <v>4.1399999999999999E-2</v>
      </c>
      <c r="D29" s="100">
        <v>4.6600000000000003E-2</v>
      </c>
      <c r="E29" s="100">
        <v>5.79E-2</v>
      </c>
      <c r="F29" s="100">
        <v>4.3299999999999998E-2</v>
      </c>
      <c r="G29" s="100">
        <v>-2.2200000000000001E-2</v>
      </c>
      <c r="H29" s="100">
        <v>-1.7000000000000001E-2</v>
      </c>
    </row>
    <row r="30" spans="1:16" x14ac:dyDescent="0.35">
      <c r="A30" s="96"/>
      <c r="B30" s="23">
        <v>44896</v>
      </c>
      <c r="C30" s="104">
        <v>-3.4799999999999998E-2</v>
      </c>
      <c r="D30" s="101">
        <v>-5.7000000000000002E-3</v>
      </c>
      <c r="E30" s="101">
        <v>-5.8200000000000002E-2</v>
      </c>
      <c r="F30" s="101">
        <v>3.7499999999999999E-2</v>
      </c>
      <c r="G30" s="101">
        <v>6.4999999999999997E-3</v>
      </c>
      <c r="H30" s="101">
        <v>1.67E-2</v>
      </c>
    </row>
    <row r="31" spans="1:16" x14ac:dyDescent="0.35">
      <c r="A31" s="96"/>
      <c r="B31" s="23">
        <v>44927</v>
      </c>
      <c r="C31" s="105">
        <v>-2.4500000000000001E-2</v>
      </c>
      <c r="D31" s="100">
        <v>-5.4199999999999998E-2</v>
      </c>
      <c r="E31" s="100">
        <v>3.9100000000000003E-2</v>
      </c>
      <c r="F31" s="100">
        <v>4.02E-2</v>
      </c>
      <c r="G31" s="100">
        <v>2.2000000000000001E-3</v>
      </c>
      <c r="H31" s="100">
        <v>-1.18E-2</v>
      </c>
    </row>
    <row r="32" spans="1:16" ht="15" thickBot="1" x14ac:dyDescent="0.4">
      <c r="A32" s="97"/>
      <c r="B32" s="27">
        <v>44958</v>
      </c>
      <c r="C32" s="110">
        <v>-2.0299999999999999E-2</v>
      </c>
      <c r="D32" s="111">
        <v>-9.4999999999999998E-3</v>
      </c>
      <c r="E32" s="111">
        <v>-2.5999999999999999E-3</v>
      </c>
      <c r="F32" s="111">
        <v>-2.5899999999999999E-2</v>
      </c>
      <c r="G32" s="111">
        <v>1.55E-2</v>
      </c>
      <c r="H32" s="111">
        <v>1.0999999999999999E-2</v>
      </c>
    </row>
    <row r="33" spans="2:2" x14ac:dyDescent="0.35">
      <c r="B33" s="57"/>
    </row>
    <row r="34" spans="2:2" x14ac:dyDescent="0.35">
      <c r="B34" s="57"/>
    </row>
  </sheetData>
  <mergeCells count="6">
    <mergeCell ref="A2:A6"/>
    <mergeCell ref="A7:A13"/>
    <mergeCell ref="A14:A20"/>
    <mergeCell ref="A21:A32"/>
    <mergeCell ref="J2:P2"/>
    <mergeCell ref="J10:N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A3A43-EEAF-4D0E-B183-A60257002309}">
  <dimension ref="A1:P7"/>
  <sheetViews>
    <sheetView zoomScale="90" zoomScaleNormal="90" workbookViewId="0">
      <selection activeCell="I14" sqref="I14"/>
    </sheetView>
  </sheetViews>
  <sheetFormatPr defaultRowHeight="14.5" x14ac:dyDescent="0.35"/>
  <cols>
    <col min="1" max="1" width="16.26953125" customWidth="1"/>
    <col min="2" max="2" width="11.26953125" customWidth="1"/>
    <col min="3" max="3" width="9.453125" customWidth="1"/>
    <col min="5" max="5" width="19.1796875" customWidth="1"/>
    <col min="6" max="6" width="13.26953125" customWidth="1"/>
    <col min="7" max="7" width="11.6328125" customWidth="1"/>
    <col min="8" max="8" width="12.36328125" customWidth="1"/>
    <col min="9" max="9" width="13.26953125" customWidth="1"/>
    <col min="10" max="10" width="10.7265625" customWidth="1"/>
  </cols>
  <sheetData>
    <row r="1" spans="1:16" ht="29.5" thickBot="1" x14ac:dyDescent="0.4">
      <c r="A1" s="79" t="s">
        <v>53</v>
      </c>
      <c r="B1" s="80" t="s">
        <v>54</v>
      </c>
      <c r="C1" s="81" t="s">
        <v>55</v>
      </c>
      <c r="E1" s="82" t="s">
        <v>44</v>
      </c>
      <c r="F1" s="89" t="s">
        <v>45</v>
      </c>
      <c r="G1" s="92" t="s">
        <v>46</v>
      </c>
      <c r="H1" s="83" t="s">
        <v>47</v>
      </c>
      <c r="J1" s="82" t="s">
        <v>72</v>
      </c>
      <c r="K1" s="142" t="s">
        <v>48</v>
      </c>
      <c r="L1" s="142" t="s">
        <v>49</v>
      </c>
      <c r="M1" s="142" t="s">
        <v>50</v>
      </c>
      <c r="N1" s="142" t="s">
        <v>51</v>
      </c>
      <c r="O1" s="142" t="s">
        <v>52</v>
      </c>
      <c r="P1" s="143" t="s">
        <v>10</v>
      </c>
    </row>
    <row r="2" spans="1:16" ht="29.5" thickBot="1" x14ac:dyDescent="0.4">
      <c r="A2" s="144">
        <v>0</v>
      </c>
      <c r="B2" s="144">
        <v>4</v>
      </c>
      <c r="C2" s="87" t="s">
        <v>45</v>
      </c>
      <c r="E2" s="88" t="s">
        <v>5</v>
      </c>
      <c r="F2" s="90">
        <v>0.35</v>
      </c>
      <c r="G2" s="93">
        <v>0.3</v>
      </c>
      <c r="H2" s="84">
        <v>0.15</v>
      </c>
      <c r="J2" s="116" t="s">
        <v>73</v>
      </c>
      <c r="K2" s="138">
        <v>-0.1</v>
      </c>
      <c r="L2" s="138">
        <v>-7.0000000000000007E-2</v>
      </c>
      <c r="M2" s="138">
        <v>-0.02</v>
      </c>
      <c r="N2" s="138">
        <v>0.05</v>
      </c>
      <c r="O2" s="138">
        <v>0.12</v>
      </c>
      <c r="P2" s="139">
        <v>0.02</v>
      </c>
    </row>
    <row r="3" spans="1:16" ht="29.5" thickBot="1" x14ac:dyDescent="0.4">
      <c r="A3" s="144">
        <v>4.01</v>
      </c>
      <c r="B3" s="144">
        <v>6</v>
      </c>
      <c r="C3" s="87" t="s">
        <v>46</v>
      </c>
      <c r="E3" s="88" t="s">
        <v>70</v>
      </c>
      <c r="F3" s="90">
        <v>0.15</v>
      </c>
      <c r="G3" s="93">
        <v>0.12</v>
      </c>
      <c r="H3" s="84">
        <v>0.03</v>
      </c>
      <c r="J3" s="116" t="s">
        <v>74</v>
      </c>
      <c r="K3" s="138">
        <v>-0.1</v>
      </c>
      <c r="L3" s="138">
        <v>-0.05</v>
      </c>
      <c r="M3" s="138">
        <v>-0.01</v>
      </c>
      <c r="N3" s="138">
        <v>0.05</v>
      </c>
      <c r="O3" s="138">
        <v>0.11</v>
      </c>
      <c r="P3" s="139">
        <v>0</v>
      </c>
    </row>
    <row r="4" spans="1:16" ht="29.5" thickBot="1" x14ac:dyDescent="0.4">
      <c r="A4" s="144">
        <v>6.01</v>
      </c>
      <c r="B4" s="144">
        <v>10</v>
      </c>
      <c r="C4" s="86" t="s">
        <v>47</v>
      </c>
      <c r="E4" s="88" t="s">
        <v>7</v>
      </c>
      <c r="F4" s="90">
        <v>0.1</v>
      </c>
      <c r="G4" s="93">
        <v>0.09</v>
      </c>
      <c r="H4" s="84">
        <v>7.0000000000000007E-2</v>
      </c>
      <c r="J4" s="116" t="s">
        <v>75</v>
      </c>
      <c r="K4" s="138">
        <v>0.1</v>
      </c>
      <c r="L4" s="138">
        <v>0.05</v>
      </c>
      <c r="M4" s="138">
        <v>0.01</v>
      </c>
      <c r="N4" s="138">
        <v>-0.05</v>
      </c>
      <c r="O4" s="138">
        <v>-0.11</v>
      </c>
      <c r="P4" s="139">
        <v>0</v>
      </c>
    </row>
    <row r="5" spans="1:16" ht="29.5" thickBot="1" x14ac:dyDescent="0.4">
      <c r="E5" s="88" t="s">
        <v>51</v>
      </c>
      <c r="F5" s="90">
        <v>0.15</v>
      </c>
      <c r="G5" s="93">
        <v>0.17</v>
      </c>
      <c r="H5" s="84">
        <v>0.33</v>
      </c>
      <c r="J5" s="117" t="s">
        <v>76</v>
      </c>
      <c r="K5" s="140">
        <v>0.1</v>
      </c>
      <c r="L5" s="140">
        <v>7.0000000000000007E-2</v>
      </c>
      <c r="M5" s="140">
        <v>0.02</v>
      </c>
      <c r="N5" s="140">
        <v>-0.05</v>
      </c>
      <c r="O5" s="140">
        <v>-0.12</v>
      </c>
      <c r="P5" s="141">
        <v>-0.02</v>
      </c>
    </row>
    <row r="6" spans="1:16" ht="15" thickBot="1" x14ac:dyDescent="0.4">
      <c r="E6" s="88" t="s">
        <v>52</v>
      </c>
      <c r="F6" s="90">
        <v>0.2</v>
      </c>
      <c r="G6" s="93">
        <v>0.25</v>
      </c>
      <c r="H6" s="84">
        <v>0.35</v>
      </c>
    </row>
    <row r="7" spans="1:16" ht="15" thickBot="1" x14ac:dyDescent="0.4">
      <c r="E7" s="88" t="s">
        <v>10</v>
      </c>
      <c r="F7" s="91">
        <v>0.05</v>
      </c>
      <c r="G7" s="94">
        <v>7.0000000000000007E-2</v>
      </c>
      <c r="H7" s="85">
        <v>7.0000000000000007E-2</v>
      </c>
    </row>
  </sheetData>
  <conditionalFormatting sqref="C2:C4">
    <cfRule type="cellIs" dxfId="18" priority="10" operator="equal">
      <formula>"green"</formula>
    </cfRule>
  </conditionalFormatting>
  <conditionalFormatting sqref="C3">
    <cfRule type="cellIs" dxfId="17" priority="9" operator="equal">
      <formula>"amber"</formula>
    </cfRule>
  </conditionalFormatting>
  <conditionalFormatting sqref="C4">
    <cfRule type="cellIs" dxfId="16" priority="7" operator="equal">
      <formula>"red"</formula>
    </cfRule>
    <cfRule type="cellIs" dxfId="15" priority="8" operator="equal">
      <formula>"red"</formula>
    </cfRule>
  </conditionalFormatting>
  <conditionalFormatting sqref="J2">
    <cfRule type="cellIs" dxfId="14" priority="5" operator="equal">
      <formula>$J$2</formula>
    </cfRule>
    <cfRule type="cellIs" dxfId="13" priority="6" operator="equal">
      <formula>" $A$12"</formula>
    </cfRule>
  </conditionalFormatting>
  <conditionalFormatting sqref="J3">
    <cfRule type="cellIs" dxfId="12" priority="3" operator="equal">
      <formula>$J$3</formula>
    </cfRule>
    <cfRule type="cellIs" dxfId="11" priority="4" operator="equal">
      <formula>$J$3</formula>
    </cfRule>
  </conditionalFormatting>
  <conditionalFormatting sqref="J4">
    <cfRule type="cellIs" dxfId="10" priority="2" operator="equal">
      <formula>$J$4</formula>
    </cfRule>
  </conditionalFormatting>
  <conditionalFormatting sqref="J5">
    <cfRule type="cellIs" dxfId="9" priority="1" operator="equal">
      <formula>$J$5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5099C-D073-433D-83EA-0F059A9AFA1B}">
  <dimension ref="A1:J120"/>
  <sheetViews>
    <sheetView zoomScale="90" zoomScaleNormal="90" workbookViewId="0">
      <selection activeCell="B1" sqref="B1:F1"/>
    </sheetView>
  </sheetViews>
  <sheetFormatPr defaultRowHeight="14.5" x14ac:dyDescent="0.35"/>
  <cols>
    <col min="1" max="1" width="12.54296875" customWidth="1"/>
    <col min="2" max="2" width="13.7265625" style="22" customWidth="1"/>
    <col min="3" max="3" width="23.36328125" customWidth="1"/>
    <col min="4" max="4" width="26.81640625" style="2" customWidth="1"/>
    <col min="5" max="5" width="22.1796875" style="2" bestFit="1" customWidth="1"/>
    <col min="6" max="7" width="20.81640625" style="2" customWidth="1"/>
    <col min="8" max="9" width="16.54296875" customWidth="1"/>
    <col min="10" max="10" width="11.81640625" style="2" bestFit="1" customWidth="1"/>
  </cols>
  <sheetData>
    <row r="1" spans="1:9" ht="15" thickBot="1" x14ac:dyDescent="0.4">
      <c r="A1" s="6" t="s">
        <v>0</v>
      </c>
      <c r="B1" s="18" t="s">
        <v>78</v>
      </c>
      <c r="C1" s="11" t="s">
        <v>81</v>
      </c>
      <c r="D1" s="145" t="s">
        <v>79</v>
      </c>
      <c r="E1" s="145" t="s">
        <v>80</v>
      </c>
      <c r="F1" s="16" t="s">
        <v>82</v>
      </c>
      <c r="G1" s="147"/>
    </row>
    <row r="2" spans="1:9" x14ac:dyDescent="0.35">
      <c r="A2" s="4">
        <v>41760</v>
      </c>
      <c r="B2" s="25" t="str">
        <f>'Risk Score'!F2</f>
        <v>Amber</v>
      </c>
      <c r="C2" s="14">
        <f>(Assets!C3*0.35)+(Assets!E3*0.15)+(Assets!G3*0.1)+(Assets!J3*0.05)+(Assets!L3*0.2)+(Assets!N3*0.05)</f>
        <v>3.7339999999999991E-2</v>
      </c>
      <c r="D2" s="14">
        <f>IF(B2="Green",
(Assets!C3*0.35)+(Assets!E3*0.15)+(Assets!G3*0.1)+(Assets!J3*0.15)+(Assets!L3*0.2)+(Assets!N3*0.05),
IF(B2="Amber",
(Assets!C3*0.3)+(Assets!E3*0.12)+(Assets!G3*0.09)+(Assets!J3*0.17)+(Assets!L3*0.25)+(Assets!N3*0.07),
(Assets!C3*0.15)+(Assets!E3*0.03)+(Assets!G3*0.07)+(Assets!J3*0.33)+(Assets!L3*0.35)+(Assets!N3*0.07)))</f>
        <v>1.5045999999999999E-2</v>
      </c>
      <c r="E2" s="12">
        <f>1+C2</f>
        <v>1.0373399999999999</v>
      </c>
      <c r="F2" s="10">
        <f>1+D2</f>
        <v>1.0150459999999999</v>
      </c>
      <c r="G2" s="12"/>
    </row>
    <row r="3" spans="1:9" ht="15" thickBot="1" x14ac:dyDescent="0.4">
      <c r="A3" s="4">
        <v>41791</v>
      </c>
      <c r="B3" s="25" t="str">
        <f>'Risk Score'!F3</f>
        <v>Green</v>
      </c>
      <c r="C3" s="14">
        <f>(Assets!C4*0.35)+(Assets!E4*0.15)+(Assets!G4*0.1)+(Assets!J4*0.05)+(Assets!L4*0.2)+(Assets!N4*0.05)</f>
        <v>3.8854999999999994E-2</v>
      </c>
      <c r="D3" s="14">
        <f>IF(B3="Green",
(Assets!C4*0.35)+(Assets!E4*0.15)+(Assets!G4*0.1)+(Assets!J4*0.15)+(Assets!L4*0.2)+(Assets!N4*0.05),
IF(B3="Amber",
(Assets!C4*0.3)+(Assets!E4*0.12)+(Assets!G4*0.09)+(Assets!J4*0.17)+(Assets!L4*0.25)+(Assets!N4*0.07),
(Assets!C4*0.15)+(Assets!E4*0.03)+(Assets!G4*0.07)+(Assets!J4*0.33)+(Assets!L4*0.35)+(Assets!N4*0.07)))</f>
        <v>4.3455000000000001E-2</v>
      </c>
      <c r="E3" s="12">
        <f>E2*(1+C3)</f>
        <v>1.0776458457</v>
      </c>
      <c r="F3" s="10">
        <f>F2*(1+D3)</f>
        <v>1.0591548239299999</v>
      </c>
      <c r="G3" s="12"/>
    </row>
    <row r="4" spans="1:9" ht="15" thickBot="1" x14ac:dyDescent="0.4">
      <c r="A4" s="4">
        <v>41821</v>
      </c>
      <c r="B4" s="25" t="str">
        <f>'Risk Score'!F4</f>
        <v>Green</v>
      </c>
      <c r="C4" s="14">
        <f>(Assets!C5*0.35)+(Assets!E5*0.15)+(Assets!G5*0.1)+(Assets!J5*0.05)+(Assets!L5*0.2)+(Assets!N5*0.05)</f>
        <v>8.3549999999999996E-3</v>
      </c>
      <c r="D4" s="14">
        <f>IF(B4="Green",
(Assets!C5*0.35)+(Assets!E5*0.15)+(Assets!G5*0.1)+(Assets!J5*0.15)+(Assets!L5*0.2)+(Assets!N5*0.05),
IF(B4="Amber",
(Assets!C5*0.3)+(Assets!E5*0.12)+(Assets!G5*0.09)+(Assets!J5*0.17)+(Assets!L5*0.25)+(Assets!N5*0.07),
(Assets!C5*0.15)+(Assets!E5*0.03)+(Assets!G5*0.07)+(Assets!J5*0.33)+(Assets!L5*0.35)+(Assets!N5*0.07)))</f>
        <v>6.9149999999999993E-3</v>
      </c>
      <c r="E4" s="12">
        <f t="shared" ref="E4:E67" si="0">E3*(1+C4)</f>
        <v>1.0866495767408233</v>
      </c>
      <c r="F4" s="10">
        <f t="shared" ref="F4:F67" si="1">F3*(1+D4)</f>
        <v>1.0664788795374758</v>
      </c>
      <c r="G4" s="12"/>
      <c r="H4" s="154" t="s">
        <v>83</v>
      </c>
      <c r="I4" s="155"/>
    </row>
    <row r="5" spans="1:9" ht="15" thickBot="1" x14ac:dyDescent="0.4">
      <c r="A5" s="4">
        <v>41852</v>
      </c>
      <c r="B5" s="25" t="str">
        <f>'Risk Score'!F5</f>
        <v>Green</v>
      </c>
      <c r="C5" s="14">
        <f>(Assets!C6*0.35)+(Assets!E6*0.15)+(Assets!G6*0.1)+(Assets!J6*0.05)+(Assets!L6*0.2)+(Assets!N6*0.05)</f>
        <v>1.5214999999999996E-2</v>
      </c>
      <c r="D5" s="14">
        <f>IF(B5="Green",
(Assets!C6*0.35)+(Assets!E6*0.15)+(Assets!G6*0.1)+(Assets!J6*0.15)+(Assets!L6*0.2)+(Assets!N6*0.05),
IF(B5="Amber",
(Assets!C6*0.3)+(Assets!E6*0.12)+(Assets!G6*0.09)+(Assets!J6*0.17)+(Assets!L6*0.25)+(Assets!N6*0.07),
(Assets!C6*0.15)+(Assets!E6*0.03)+(Assets!G6*0.07)+(Assets!J6*0.33)+(Assets!L6*0.35)+(Assets!N6*0.07)))</f>
        <v>1.5274999999999997E-2</v>
      </c>
      <c r="E5" s="12">
        <f t="shared" si="0"/>
        <v>1.1031829500509349</v>
      </c>
      <c r="F5" s="10">
        <f t="shared" si="1"/>
        <v>1.0827693444224107</v>
      </c>
      <c r="G5" s="12"/>
      <c r="H5" s="150" t="s">
        <v>45</v>
      </c>
      <c r="I5" s="151">
        <f>COUNTIF(B2:B120,"green")</f>
        <v>100</v>
      </c>
    </row>
    <row r="6" spans="1:9" ht="15" thickBot="1" x14ac:dyDescent="0.4">
      <c r="A6" s="4">
        <v>41883</v>
      </c>
      <c r="B6" s="25" t="str">
        <f>'Risk Score'!F6</f>
        <v>Green</v>
      </c>
      <c r="C6" s="14">
        <f>(Assets!C7*0.35)+(Assets!E7*0.15)+(Assets!G7*0.1)+(Assets!J7*0.05)+(Assets!L7*0.2)+(Assets!N7*0.05)</f>
        <v>1.0599999999999997E-3</v>
      </c>
      <c r="D6" s="14">
        <f>IF(B6="Green",
(Assets!C7*0.35)+(Assets!E7*0.15)+(Assets!G7*0.1)+(Assets!J7*0.15)+(Assets!L7*0.2)+(Assets!N7*0.05),
IF(B6="Amber",
(Assets!C7*0.3)+(Assets!E7*0.12)+(Assets!G7*0.09)+(Assets!J7*0.17)+(Assets!L7*0.25)+(Assets!N7*0.07),
(Assets!C7*0.15)+(Assets!E7*0.03)+(Assets!G7*0.07)+(Assets!J7*0.33)+(Assets!L7*0.35)+(Assets!N7*0.07)))</f>
        <v>-2.8700000000000002E-3</v>
      </c>
      <c r="E6" s="12">
        <f t="shared" si="0"/>
        <v>1.1043523239779889</v>
      </c>
      <c r="F6" s="10">
        <f t="shared" si="1"/>
        <v>1.0796617964039184</v>
      </c>
      <c r="G6" s="12"/>
      <c r="H6" s="152" t="s">
        <v>46</v>
      </c>
      <c r="I6" s="153">
        <f>COUNTIF(B:B,"amber")</f>
        <v>15</v>
      </c>
    </row>
    <row r="7" spans="1:9" ht="15" thickBot="1" x14ac:dyDescent="0.4">
      <c r="A7" s="4">
        <v>41913</v>
      </c>
      <c r="B7" s="25" t="str">
        <f>'Risk Score'!F7</f>
        <v>Green</v>
      </c>
      <c r="C7" s="14">
        <f>(Assets!C8*0.35)+(Assets!E8*0.15)+(Assets!G8*0.1)+(Assets!J8*0.05)+(Assets!L8*0.2)+(Assets!N8*0.05)</f>
        <v>2.5390000000000003E-2</v>
      </c>
      <c r="D7" s="14">
        <f>IF(B7="Green",
(Assets!C8*0.35)+(Assets!E8*0.15)+(Assets!G8*0.1)+(Assets!J8*0.15)+(Assets!L8*0.2)+(Assets!N8*0.05),
IF(B7="Amber",
(Assets!C8*0.3)+(Assets!E8*0.12)+(Assets!G8*0.09)+(Assets!J8*0.17)+(Assets!L8*0.25)+(Assets!N8*0.07),
(Assets!C8*0.15)+(Assets!E8*0.03)+(Assets!G8*0.07)+(Assets!J8*0.33)+(Assets!L8*0.35)+(Assets!N8*0.07)))</f>
        <v>2.366E-2</v>
      </c>
      <c r="E7" s="12">
        <f t="shared" si="0"/>
        <v>1.13239182948379</v>
      </c>
      <c r="F7" s="10">
        <f t="shared" si="1"/>
        <v>1.105206594506835</v>
      </c>
      <c r="G7" s="12"/>
      <c r="H7" s="148" t="s">
        <v>47</v>
      </c>
      <c r="I7" s="149">
        <f>COUNTIF(B:B,"red")</f>
        <v>4</v>
      </c>
    </row>
    <row r="8" spans="1:9" ht="15" thickBot="1" x14ac:dyDescent="0.4">
      <c r="A8" s="4">
        <v>41944</v>
      </c>
      <c r="B8" s="25" t="str">
        <f>'Risk Score'!F8</f>
        <v>Green</v>
      </c>
      <c r="C8" s="14">
        <f>(Assets!C9*0.35)+(Assets!E9*0.15)+(Assets!G9*0.1)+(Assets!J9*0.05)+(Assets!L9*0.2)+(Assets!N9*0.05)</f>
        <v>2.5389999999999999E-2</v>
      </c>
      <c r="D8" s="14">
        <f>IF(B8="Green",
(Assets!C9*0.35)+(Assets!E9*0.15)+(Assets!G9*0.1)+(Assets!J9*0.15)+(Assets!L9*0.2)+(Assets!N9*0.05),
IF(B8="Amber",
(Assets!C9*0.3)+(Assets!E9*0.12)+(Assets!G9*0.09)+(Assets!J9*0.17)+(Assets!L9*0.25)+(Assets!N9*0.07),
(Assets!C9*0.15)+(Assets!E9*0.03)+(Assets!G9*0.07)+(Assets!J9*0.33)+(Assets!L9*0.35)+(Assets!N9*0.07)))</f>
        <v>2.605E-2</v>
      </c>
      <c r="E8" s="12">
        <f t="shared" si="0"/>
        <v>1.1611432580343835</v>
      </c>
      <c r="F8" s="10">
        <f t="shared" si="1"/>
        <v>1.1339972262937379</v>
      </c>
      <c r="G8" s="12"/>
    </row>
    <row r="9" spans="1:9" ht="15" thickBot="1" x14ac:dyDescent="0.4">
      <c r="A9" s="4">
        <v>41974</v>
      </c>
      <c r="B9" s="25" t="str">
        <f>'Risk Score'!F9</f>
        <v>Green</v>
      </c>
      <c r="C9" s="14">
        <f>(Assets!C10*0.35)+(Assets!E10*0.15)+(Assets!G10*0.1)+(Assets!J10*0.05)+(Assets!L10*0.2)+(Assets!N10*0.05)</f>
        <v>-2.1009999999999997E-2</v>
      </c>
      <c r="D9" s="14">
        <f>IF(B9="Green",
(Assets!C10*0.35)+(Assets!E10*0.15)+(Assets!G10*0.1)+(Assets!J10*0.15)+(Assets!L10*0.2)+(Assets!N10*0.05),
IF(B9="Amber",
(Assets!C10*0.3)+(Assets!E10*0.12)+(Assets!G10*0.09)+(Assets!J10*0.17)+(Assets!L10*0.25)+(Assets!N10*0.07),
(Assets!C10*0.15)+(Assets!E10*0.03)+(Assets!G10*0.07)+(Assets!J10*0.33)+(Assets!L10*0.35)+(Assets!N10*0.07)))</f>
        <v>-2.0139999999999995E-2</v>
      </c>
      <c r="E9" s="12">
        <f t="shared" si="0"/>
        <v>1.136747638183081</v>
      </c>
      <c r="F9" s="10">
        <f t="shared" si="1"/>
        <v>1.1111585221561819</v>
      </c>
      <c r="G9" s="12"/>
      <c r="H9" s="158" t="s">
        <v>81</v>
      </c>
      <c r="I9" s="159"/>
    </row>
    <row r="10" spans="1:9" ht="15" thickBot="1" x14ac:dyDescent="0.4">
      <c r="A10" s="4">
        <v>42005</v>
      </c>
      <c r="B10" s="25" t="str">
        <f>'Risk Score'!F10</f>
        <v>Green</v>
      </c>
      <c r="C10" s="14">
        <f>(Assets!C11*0.35)+(Assets!E11*0.15)+(Assets!G11*0.1)+(Assets!J11*0.05)+(Assets!L11*0.2)+(Assets!N11*0.05)</f>
        <v>3.3845000000000007E-2</v>
      </c>
      <c r="D10" s="14">
        <f>IF(B10="Green",
(Assets!C11*0.35)+(Assets!E11*0.15)+(Assets!G11*0.1)+(Assets!J11*0.15)+(Assets!L11*0.2)+(Assets!N11*0.05),
IF(B10="Amber",
(Assets!C11*0.3)+(Assets!E11*0.12)+(Assets!G11*0.09)+(Assets!J11*0.17)+(Assets!L11*0.25)+(Assets!N11*0.07),
(Assets!C11*0.15)+(Assets!E11*0.03)+(Assets!G11*0.07)+(Assets!J11*0.33)+(Assets!L11*0.35)+(Assets!N11*0.07)))</f>
        <v>3.8495000000000008E-2</v>
      </c>
      <c r="E10" s="12">
        <f t="shared" si="0"/>
        <v>1.1752208619973872</v>
      </c>
      <c r="F10" s="10">
        <f t="shared" si="1"/>
        <v>1.1539325694665841</v>
      </c>
      <c r="G10" s="12"/>
      <c r="H10" s="162" t="s">
        <v>87</v>
      </c>
      <c r="I10" s="163">
        <v>1.29</v>
      </c>
    </row>
    <row r="11" spans="1:9" ht="15" thickBot="1" x14ac:dyDescent="0.4">
      <c r="A11" s="4">
        <v>42036</v>
      </c>
      <c r="B11" s="25" t="str">
        <f>'Risk Score'!F11</f>
        <v>Green</v>
      </c>
      <c r="C11" s="14">
        <f>(Assets!C12*0.35)+(Assets!E12*0.15)+(Assets!G12*0.1)+(Assets!J12*0.05)+(Assets!L12*0.2)+(Assets!N12*0.05)</f>
        <v>7.4949999999999999E-3</v>
      </c>
      <c r="D11" s="14">
        <f>IF(B11="Green",
(Assets!C12*0.35)+(Assets!E12*0.15)+(Assets!G12*0.1)+(Assets!J12*0.15)+(Assets!L12*0.2)+(Assets!N12*0.05),
IF(B11="Amber",
(Assets!C12*0.3)+(Assets!E12*0.12)+(Assets!G12*0.09)+(Assets!J12*0.17)+(Assets!L12*0.25)+(Assets!N12*0.07),
(Assets!C12*0.15)+(Assets!E12*0.03)+(Assets!G12*0.07)+(Assets!J12*0.33)+(Assets!L12*0.35)+(Assets!N12*0.07)))</f>
        <v>2.1150000000000014E-3</v>
      </c>
      <c r="E11" s="12">
        <f t="shared" si="0"/>
        <v>1.1840291423580576</v>
      </c>
      <c r="F11" s="10">
        <f t="shared" si="1"/>
        <v>1.156373136851006</v>
      </c>
      <c r="G11" s="12"/>
      <c r="H11" s="160" t="s">
        <v>90</v>
      </c>
      <c r="I11" s="161">
        <f>AVERAGE(C:C)</f>
        <v>7.4148319327731107E-3</v>
      </c>
    </row>
    <row r="12" spans="1:9" ht="15" thickBot="1" x14ac:dyDescent="0.4">
      <c r="A12" s="4">
        <v>42064</v>
      </c>
      <c r="B12" s="25" t="str">
        <f>'Risk Score'!F12</f>
        <v>Green</v>
      </c>
      <c r="C12" s="14">
        <f>(Assets!C13*0.35)+(Assets!E13*0.15)+(Assets!G13*0.1)+(Assets!J13*0.05)+(Assets!L13*0.2)+(Assets!N13*0.05)</f>
        <v>-3.2009999999999997E-2</v>
      </c>
      <c r="D12" s="14">
        <f>IF(B12="Green",
(Assets!C13*0.35)+(Assets!E13*0.15)+(Assets!G13*0.1)+(Assets!J13*0.15)+(Assets!L13*0.2)+(Assets!N13*0.05),
IF(B12="Amber",
(Assets!C13*0.3)+(Assets!E13*0.12)+(Assets!G13*0.09)+(Assets!J13*0.17)+(Assets!L13*0.25)+(Assets!N13*0.07),
(Assets!C13*0.15)+(Assets!E13*0.03)+(Assets!G13*0.07)+(Assets!J13*0.33)+(Assets!L13*0.35)+(Assets!N13*0.07)))</f>
        <v>-3.3700000000000001E-2</v>
      </c>
      <c r="E12" s="12">
        <f t="shared" si="0"/>
        <v>1.1461283695111761</v>
      </c>
      <c r="F12" s="10">
        <f t="shared" si="1"/>
        <v>1.1174033621391271</v>
      </c>
      <c r="G12" s="12"/>
      <c r="H12" s="160" t="s">
        <v>89</v>
      </c>
      <c r="I12" s="172">
        <f>STDEV(C:C)</f>
        <v>2.9524182733366371E-2</v>
      </c>
    </row>
    <row r="13" spans="1:9" ht="15" thickBot="1" x14ac:dyDescent="0.4">
      <c r="A13" s="4">
        <v>42095</v>
      </c>
      <c r="B13" s="25" t="str">
        <f>'Risk Score'!F13</f>
        <v>Green</v>
      </c>
      <c r="C13" s="14">
        <f>(Assets!C14*0.35)+(Assets!E14*0.15)+(Assets!G14*0.1)+(Assets!J14*0.05)+(Assets!L14*0.2)+(Assets!N14*0.05)</f>
        <v>-1.4709999999999997E-2</v>
      </c>
      <c r="D13" s="14">
        <f>IF(B13="Green",
(Assets!C14*0.35)+(Assets!E14*0.15)+(Assets!G14*0.1)+(Assets!J14*0.15)+(Assets!L14*0.2)+(Assets!N14*0.05),
IF(B13="Amber",
(Assets!C14*0.3)+(Assets!E14*0.12)+(Assets!G14*0.09)+(Assets!J14*0.17)+(Assets!L14*0.25)+(Assets!N14*0.07),
(Assets!C14*0.15)+(Assets!E14*0.03)+(Assets!G14*0.07)+(Assets!J14*0.33)+(Assets!L14*0.35)+(Assets!N14*0.07)))</f>
        <v>-1.1149999999999997E-2</v>
      </c>
      <c r="E13" s="12">
        <f t="shared" si="0"/>
        <v>1.1292688211956667</v>
      </c>
      <c r="F13" s="10">
        <f t="shared" si="1"/>
        <v>1.1049443146512758</v>
      </c>
      <c r="G13" s="12"/>
      <c r="H13" s="160" t="s">
        <v>88</v>
      </c>
      <c r="I13" s="161">
        <f>(0.74%-0.5%)/2.95%</f>
        <v>8.1355932203389839E-2</v>
      </c>
    </row>
    <row r="14" spans="1:9" ht="15" thickBot="1" x14ac:dyDescent="0.4">
      <c r="A14" s="4">
        <v>42125</v>
      </c>
      <c r="B14" s="25" t="str">
        <f>'Risk Score'!F14</f>
        <v>Green</v>
      </c>
      <c r="C14" s="14">
        <f>(Assets!C15*0.35)+(Assets!E15*0.15)+(Assets!G15*0.1)+(Assets!J15*0.05)+(Assets!L15*0.2)+(Assets!N15*0.05)</f>
        <v>1.7675E-2</v>
      </c>
      <c r="D14" s="14">
        <f>IF(B14="Green",
(Assets!C15*0.35)+(Assets!E15*0.15)+(Assets!G15*0.1)+(Assets!J15*0.15)+(Assets!L15*0.2)+(Assets!N15*0.05),
IF(B14="Amber",
(Assets!C15*0.3)+(Assets!E15*0.12)+(Assets!G15*0.09)+(Assets!J15*0.17)+(Assets!L15*0.25)+(Assets!N15*0.07),
(Assets!C15*0.15)+(Assets!E15*0.03)+(Assets!G15*0.07)+(Assets!J15*0.33)+(Assets!L15*0.35)+(Assets!N15*0.07)))</f>
        <v>1.6695000000000002E-2</v>
      </c>
      <c r="E14" s="12">
        <f t="shared" si="0"/>
        <v>1.1492286476103002</v>
      </c>
      <c r="F14" s="10">
        <f t="shared" si="1"/>
        <v>1.1233913599843788</v>
      </c>
      <c r="G14" s="12"/>
    </row>
    <row r="15" spans="1:9" ht="15" thickBot="1" x14ac:dyDescent="0.4">
      <c r="A15" s="4">
        <v>42156</v>
      </c>
      <c r="B15" s="25" t="str">
        <f>'Risk Score'!F15</f>
        <v>Green</v>
      </c>
      <c r="C15" s="14">
        <f>(Assets!C16*0.35)+(Assets!E16*0.15)+(Assets!G16*0.1)+(Assets!J16*0.05)+(Assets!L16*0.2)+(Assets!N16*0.05)</f>
        <v>-1.0485E-2</v>
      </c>
      <c r="D15" s="14">
        <f>IF(B15="Green",
(Assets!C16*0.35)+(Assets!E16*0.15)+(Assets!G16*0.1)+(Assets!J16*0.15)+(Assets!L16*0.2)+(Assets!N16*0.05),
IF(B15="Amber",
(Assets!C16*0.3)+(Assets!E16*0.12)+(Assets!G16*0.09)+(Assets!J16*0.17)+(Assets!L16*0.25)+(Assets!N16*0.07),
(Assets!C16*0.15)+(Assets!E16*0.03)+(Assets!G16*0.07)+(Assets!J16*0.33)+(Assets!L16*0.35)+(Assets!N16*0.07)))</f>
        <v>-1.2114999999999999E-2</v>
      </c>
      <c r="E15" s="12">
        <f t="shared" si="0"/>
        <v>1.1371789852401062</v>
      </c>
      <c r="F15" s="10">
        <f t="shared" si="1"/>
        <v>1.1097814736581681</v>
      </c>
      <c r="G15" s="12"/>
      <c r="H15" s="156" t="s">
        <v>86</v>
      </c>
      <c r="I15" s="157"/>
    </row>
    <row r="16" spans="1:9" ht="15" thickBot="1" x14ac:dyDescent="0.4">
      <c r="A16" s="4">
        <v>42186</v>
      </c>
      <c r="B16" s="25" t="str">
        <f>'Risk Score'!F16</f>
        <v>Green</v>
      </c>
      <c r="C16" s="14">
        <f>(Assets!C17*0.35)+(Assets!E17*0.15)+(Assets!G17*0.1)+(Assets!J17*0.05)+(Assets!L17*0.2)+(Assets!N17*0.05)</f>
        <v>1.1254999999999999E-2</v>
      </c>
      <c r="D16" s="14">
        <f>IF(B16="Green",
(Assets!C17*0.35)+(Assets!E17*0.15)+(Assets!G17*0.1)+(Assets!J17*0.15)+(Assets!L17*0.2)+(Assets!N17*0.05),
IF(B16="Amber",
(Assets!C17*0.3)+(Assets!E17*0.12)+(Assets!G17*0.09)+(Assets!J17*0.17)+(Assets!L17*0.25)+(Assets!N17*0.07),
(Assets!C17*0.15)+(Assets!E17*0.03)+(Assets!G17*0.07)+(Assets!J17*0.33)+(Assets!L17*0.35)+(Assets!N17*0.07)))</f>
        <v>5.0550000000000005E-3</v>
      </c>
      <c r="E16" s="12">
        <f t="shared" si="0"/>
        <v>1.1499779347189836</v>
      </c>
      <c r="F16" s="10">
        <f t="shared" si="1"/>
        <v>1.1153914190075103</v>
      </c>
      <c r="G16" s="12"/>
      <c r="H16" s="160" t="s">
        <v>91</v>
      </c>
      <c r="I16" s="163">
        <v>1.35</v>
      </c>
    </row>
    <row r="17" spans="1:10" ht="15" thickBot="1" x14ac:dyDescent="0.4">
      <c r="A17" s="4">
        <v>42217</v>
      </c>
      <c r="B17" s="25" t="str">
        <f>'Risk Score'!F17</f>
        <v>Green</v>
      </c>
      <c r="C17" s="14">
        <f>(Assets!C18*0.35)+(Assets!E18*0.15)+(Assets!G18*0.1)+(Assets!J18*0.05)+(Assets!L18*0.2)+(Assets!N18*0.05)</f>
        <v>-3.0709999999999994E-2</v>
      </c>
      <c r="D17" s="14">
        <f>IF(B17="Green",
(Assets!C18*0.35)+(Assets!E18*0.15)+(Assets!G18*0.1)+(Assets!J18*0.15)+(Assets!L18*0.2)+(Assets!N18*0.05),
IF(B17="Amber",
(Assets!C18*0.3)+(Assets!E18*0.12)+(Assets!G18*0.09)+(Assets!J18*0.17)+(Assets!L18*0.25)+(Assets!N18*0.07),
(Assets!C18*0.15)+(Assets!E18*0.03)+(Assets!G18*0.07)+(Assets!J18*0.33)+(Assets!L18*0.35)+(Assets!N18*0.07)))</f>
        <v>-2.3589999999999996E-2</v>
      </c>
      <c r="E17" s="12">
        <f t="shared" si="0"/>
        <v>1.1146621123437637</v>
      </c>
      <c r="F17" s="10">
        <f t="shared" si="1"/>
        <v>1.0890793354331232</v>
      </c>
      <c r="G17" s="12"/>
      <c r="H17" s="160" t="s">
        <v>84</v>
      </c>
      <c r="I17" s="161">
        <f>AVERAGE(D:D)</f>
        <v>7.5502521008403356E-3</v>
      </c>
    </row>
    <row r="18" spans="1:10" ht="15" thickBot="1" x14ac:dyDescent="0.4">
      <c r="A18" s="4">
        <v>42248</v>
      </c>
      <c r="B18" s="25" t="str">
        <f>'Risk Score'!F18</f>
        <v>Green</v>
      </c>
      <c r="C18" s="14">
        <f>(Assets!C19*0.35)+(Assets!E19*0.15)+(Assets!G19*0.1)+(Assets!J19*0.05)+(Assets!L19*0.2)+(Assets!N19*0.05)</f>
        <v>-4.5799999999999999E-3</v>
      </c>
      <c r="D18" s="14">
        <f>IF(B18="Green",
(Assets!C19*0.35)+(Assets!E19*0.15)+(Assets!G19*0.1)+(Assets!J19*0.15)+(Assets!L19*0.2)+(Assets!N19*0.05),
IF(B18="Amber",
(Assets!C19*0.3)+(Assets!E19*0.12)+(Assets!G19*0.09)+(Assets!J19*0.17)+(Assets!L19*0.25)+(Assets!N19*0.07),
(Assets!C19*0.15)+(Assets!E19*0.03)+(Assets!G19*0.07)+(Assets!J19*0.33)+(Assets!L19*0.35)+(Assets!N19*0.07)))</f>
        <v>-6.3999999999999994E-3</v>
      </c>
      <c r="E18" s="12">
        <f t="shared" si="0"/>
        <v>1.1095569598692292</v>
      </c>
      <c r="F18" s="10">
        <f t="shared" si="1"/>
        <v>1.0821092276863513</v>
      </c>
      <c r="G18" s="12"/>
      <c r="H18" s="160" t="s">
        <v>85</v>
      </c>
      <c r="I18" s="172">
        <f>STDEV(D:D)</f>
        <v>2.6774394866705756E-2</v>
      </c>
    </row>
    <row r="19" spans="1:10" ht="15" thickBot="1" x14ac:dyDescent="0.4">
      <c r="A19" s="4">
        <v>42278</v>
      </c>
      <c r="B19" s="25" t="str">
        <f>'Risk Score'!F19</f>
        <v>Green</v>
      </c>
      <c r="C19" s="14">
        <f>(Assets!C20*0.35)+(Assets!E20*0.15)+(Assets!G20*0.1)+(Assets!J20*0.05)+(Assets!L20*0.2)+(Assets!N20*0.05)</f>
        <v>5.5499999999999994E-3</v>
      </c>
      <c r="D19" s="14">
        <f>IF(B19="Green",
(Assets!C20*0.35)+(Assets!E20*0.15)+(Assets!G20*0.1)+(Assets!J20*0.15)+(Assets!L20*0.2)+(Assets!N20*0.05),
IF(B19="Amber",
(Assets!C20*0.3)+(Assets!E20*0.12)+(Assets!G20*0.09)+(Assets!J20*0.17)+(Assets!L20*0.25)+(Assets!N20*0.07),
(Assets!C20*0.15)+(Assets!E20*0.03)+(Assets!G20*0.07)+(Assets!J20*0.33)+(Assets!L20*0.35)+(Assets!N20*0.07)))</f>
        <v>7.7999999999999988E-3</v>
      </c>
      <c r="E19" s="12">
        <f t="shared" si="0"/>
        <v>1.1157150009965033</v>
      </c>
      <c r="F19" s="10">
        <f t="shared" si="1"/>
        <v>1.0905496796623049</v>
      </c>
      <c r="G19" s="12"/>
      <c r="H19" s="8" t="s">
        <v>88</v>
      </c>
      <c r="I19" s="161">
        <f>(I17-0.005)/I18</f>
        <v>9.5249663476488167E-2</v>
      </c>
    </row>
    <row r="20" spans="1:10" x14ac:dyDescent="0.35">
      <c r="A20" s="4">
        <v>42309</v>
      </c>
      <c r="B20" s="25" t="str">
        <f>'Risk Score'!F20</f>
        <v>Green</v>
      </c>
      <c r="C20" s="14">
        <f>(Assets!C21*0.35)+(Assets!E21*0.15)+(Assets!G21*0.1)+(Assets!J21*0.05)+(Assets!L21*0.2)+(Assets!N21*0.05)</f>
        <v>-5.8799999999999981E-3</v>
      </c>
      <c r="D20" s="14">
        <f>IF(B20="Green",
(Assets!C21*0.35)+(Assets!E21*0.15)+(Assets!G21*0.1)+(Assets!J21*0.15)+(Assets!L21*0.2)+(Assets!N21*0.05),
IF(B20="Amber",
(Assets!C21*0.3)+(Assets!E21*0.12)+(Assets!G21*0.09)+(Assets!J21*0.17)+(Assets!L21*0.25)+(Assets!N21*0.07),
(Assets!C21*0.15)+(Assets!E21*0.03)+(Assets!G21*0.07)+(Assets!J21*0.33)+(Assets!L21*0.35)+(Assets!N21*0.07)))</f>
        <v>-1.1949999999999995E-2</v>
      </c>
      <c r="E20" s="12">
        <f t="shared" si="0"/>
        <v>1.109154596790644</v>
      </c>
      <c r="F20" s="10">
        <f t="shared" si="1"/>
        <v>1.0775176109903404</v>
      </c>
      <c r="G20" s="12"/>
    </row>
    <row r="21" spans="1:10" x14ac:dyDescent="0.35">
      <c r="A21" s="4">
        <v>42339</v>
      </c>
      <c r="B21" s="25" t="str">
        <f>'Risk Score'!F21</f>
        <v>Green</v>
      </c>
      <c r="C21" s="14">
        <f>(Assets!C22*0.35)+(Assets!E22*0.15)+(Assets!G22*0.1)+(Assets!J22*0.05)+(Assets!L22*0.2)+(Assets!N22*0.05)</f>
        <v>-5.0300000000000006E-3</v>
      </c>
      <c r="D21" s="14">
        <f>IF(B21="Green",
(Assets!C22*0.35)+(Assets!E22*0.15)+(Assets!G22*0.1)+(Assets!J22*0.15)+(Assets!L22*0.2)+(Assets!N22*0.05),
IF(B21="Amber",
(Assets!C22*0.3)+(Assets!E22*0.12)+(Assets!G22*0.09)+(Assets!J22*0.17)+(Assets!L22*0.25)+(Assets!N22*0.07),
(Assets!C22*0.15)+(Assets!E22*0.03)+(Assets!G22*0.07)+(Assets!J22*0.33)+(Assets!L22*0.35)+(Assets!N22*0.07)))</f>
        <v>-5.6100000000000004E-3</v>
      </c>
      <c r="E21" s="12">
        <f t="shared" si="0"/>
        <v>1.1035755491687871</v>
      </c>
      <c r="F21" s="10">
        <f t="shared" si="1"/>
        <v>1.0714727371926847</v>
      </c>
      <c r="G21" s="12"/>
      <c r="I21" s="2"/>
      <c r="J21"/>
    </row>
    <row r="22" spans="1:10" x14ac:dyDescent="0.35">
      <c r="A22" s="4">
        <v>42370</v>
      </c>
      <c r="B22" s="25" t="str">
        <f>'Risk Score'!F22</f>
        <v>Green</v>
      </c>
      <c r="C22" s="14">
        <f>(Assets!C23*0.35)+(Assets!E23*0.15)+(Assets!G23*0.1)+(Assets!J23*0.05)+(Assets!L23*0.2)+(Assets!N23*0.05)</f>
        <v>-2.4105000000000001E-2</v>
      </c>
      <c r="D22" s="14">
        <f>IF(B22="Green",
(Assets!C23*0.35)+(Assets!E23*0.15)+(Assets!G23*0.1)+(Assets!J23*0.15)+(Assets!L23*0.2)+(Assets!N23*0.05),
IF(B22="Amber",
(Assets!C23*0.3)+(Assets!E23*0.12)+(Assets!G23*0.09)+(Assets!J23*0.17)+(Assets!L23*0.25)+(Assets!N23*0.07),
(Assets!C23*0.15)+(Assets!E23*0.03)+(Assets!G23*0.07)+(Assets!J23*0.33)+(Assets!L23*0.35)+(Assets!N23*0.07)))</f>
        <v>-1.7784999999999999E-2</v>
      </c>
      <c r="E22" s="12">
        <f t="shared" si="0"/>
        <v>1.0769738605560735</v>
      </c>
      <c r="F22" s="10">
        <f t="shared" si="1"/>
        <v>1.0524165945617128</v>
      </c>
      <c r="G22" s="12"/>
      <c r="I22" s="2"/>
      <c r="J22"/>
    </row>
    <row r="23" spans="1:10" x14ac:dyDescent="0.35">
      <c r="A23" s="4">
        <v>42401</v>
      </c>
      <c r="B23" s="25" t="str">
        <f>'Risk Score'!F23</f>
        <v>Amber</v>
      </c>
      <c r="C23" s="14">
        <f>(Assets!C24*0.35)+(Assets!E24*0.15)+(Assets!G24*0.1)+(Assets!J24*0.05)+(Assets!L24*0.2)+(Assets!N24*0.05)</f>
        <v>-4.9535000000000003E-2</v>
      </c>
      <c r="D23" s="14">
        <f>IF(B23="Green",
(Assets!C24*0.35)+(Assets!E24*0.15)+(Assets!G24*0.1)+(Assets!J24*0.15)+(Assets!L24*0.2)+(Assets!N24*0.05),
IF(B23="Amber",
(Assets!C24*0.3)+(Assets!E24*0.12)+(Assets!G24*0.09)+(Assets!J24*0.17)+(Assets!L24*0.25)+(Assets!N24*0.07),
(Assets!C24*0.15)+(Assets!E24*0.03)+(Assets!G24*0.07)+(Assets!J24*0.33)+(Assets!L24*0.35)+(Assets!N24*0.07)))</f>
        <v>-3.1563000000000001E-2</v>
      </c>
      <c r="E23" s="12">
        <f t="shared" si="0"/>
        <v>1.0236259603734283</v>
      </c>
      <c r="F23" s="10">
        <f t="shared" si="1"/>
        <v>1.0191991695875615</v>
      </c>
      <c r="G23" s="12"/>
    </row>
    <row r="24" spans="1:10" x14ac:dyDescent="0.35">
      <c r="A24" s="4">
        <v>42430</v>
      </c>
      <c r="B24" s="25" t="str">
        <f>'Risk Score'!F24</f>
        <v>Green</v>
      </c>
      <c r="C24" s="14">
        <f>(Assets!C25*0.35)+(Assets!E25*0.15)+(Assets!G25*0.1)+(Assets!J25*0.05)+(Assets!L25*0.2)+(Assets!N25*0.05)</f>
        <v>6.3924999999999996E-2</v>
      </c>
      <c r="D24" s="14">
        <f>IF(B24="Green",
(Assets!C25*0.35)+(Assets!E25*0.15)+(Assets!G25*0.1)+(Assets!J25*0.15)+(Assets!L25*0.2)+(Assets!N25*0.05),
IF(B24="Amber",
(Assets!C25*0.3)+(Assets!E25*0.12)+(Assets!G25*0.09)+(Assets!J25*0.17)+(Assets!L25*0.25)+(Assets!N25*0.07),
(Assets!C25*0.15)+(Assets!E25*0.03)+(Assets!G25*0.07)+(Assets!J25*0.33)+(Assets!L25*0.35)+(Assets!N25*0.07)))</f>
        <v>6.0704999999999995E-2</v>
      </c>
      <c r="E24" s="12">
        <f t="shared" si="0"/>
        <v>1.0890612498902998</v>
      </c>
      <c r="F24" s="10">
        <f t="shared" si="1"/>
        <v>1.0810696551773744</v>
      </c>
      <c r="G24" s="12"/>
    </row>
    <row r="25" spans="1:10" x14ac:dyDescent="0.35">
      <c r="A25" s="4">
        <v>42461</v>
      </c>
      <c r="B25" s="25" t="str">
        <f>'Risk Score'!F25</f>
        <v>Green</v>
      </c>
      <c r="C25" s="14">
        <f>(Assets!C26*0.35)+(Assets!E26*0.15)+(Assets!G26*0.1)+(Assets!J26*0.05)+(Assets!L26*0.2)+(Assets!N26*0.05)</f>
        <v>1.2589999999999999E-2</v>
      </c>
      <c r="D25" s="14">
        <f>IF(B25="Green",
(Assets!C26*0.35)+(Assets!E26*0.15)+(Assets!G26*0.1)+(Assets!J26*0.15)+(Assets!L26*0.2)+(Assets!N26*0.05),
IF(B25="Amber",
(Assets!C26*0.3)+(Assets!E26*0.12)+(Assets!G26*0.09)+(Assets!J26*0.17)+(Assets!L26*0.25)+(Assets!N26*0.07),
(Assets!C26*0.15)+(Assets!E26*0.03)+(Assets!G26*0.07)+(Assets!J26*0.33)+(Assets!L26*0.35)+(Assets!N26*0.07)))</f>
        <v>1.8569999999999996E-2</v>
      </c>
      <c r="E25" s="12">
        <f t="shared" si="0"/>
        <v>1.1027725310264189</v>
      </c>
      <c r="F25" s="10">
        <f t="shared" si="1"/>
        <v>1.1011451186740182</v>
      </c>
      <c r="G25" s="12"/>
    </row>
    <row r="26" spans="1:10" x14ac:dyDescent="0.35">
      <c r="A26" s="4">
        <v>42491</v>
      </c>
      <c r="B26" s="25" t="str">
        <f>'Risk Score'!F26</f>
        <v>Green</v>
      </c>
      <c r="C26" s="14">
        <f>(Assets!C27*0.35)+(Assets!E27*0.15)+(Assets!G27*0.1)+(Assets!J27*0.05)+(Assets!L27*0.2)+(Assets!N27*0.05)</f>
        <v>2.3219999999999998E-2</v>
      </c>
      <c r="D26" s="14">
        <f>IF(B26="Green",
(Assets!C27*0.35)+(Assets!E27*0.15)+(Assets!G27*0.1)+(Assets!J27*0.15)+(Assets!L27*0.2)+(Assets!N27*0.05),
IF(B26="Amber",
(Assets!C27*0.3)+(Assets!E27*0.12)+(Assets!G27*0.09)+(Assets!J27*0.17)+(Assets!L27*0.25)+(Assets!N27*0.07),
(Assets!C27*0.15)+(Assets!E27*0.03)+(Assets!G27*0.07)+(Assets!J27*0.33)+(Assets!L27*0.35)+(Assets!N27*0.07)))</f>
        <v>2.0589999999999997E-2</v>
      </c>
      <c r="E26" s="12">
        <f t="shared" si="0"/>
        <v>1.1283789091968524</v>
      </c>
      <c r="F26" s="10">
        <f t="shared" si="1"/>
        <v>1.1238176966675162</v>
      </c>
      <c r="G26" s="12"/>
    </row>
    <row r="27" spans="1:10" x14ac:dyDescent="0.35">
      <c r="A27" s="4">
        <v>42522</v>
      </c>
      <c r="B27" s="25" t="str">
        <f>'Risk Score'!F27</f>
        <v>Green</v>
      </c>
      <c r="C27" s="14">
        <f>(Assets!C28*0.35)+(Assets!E28*0.15)+(Assets!G28*0.1)+(Assets!J28*0.05)+(Assets!L28*0.2)+(Assets!N28*0.05)</f>
        <v>7.7999999999999988E-3</v>
      </c>
      <c r="D27" s="14">
        <f>IF(B27="Green",
(Assets!C28*0.35)+(Assets!E28*0.15)+(Assets!G28*0.1)+(Assets!J28*0.15)+(Assets!L28*0.2)+(Assets!N28*0.05),
IF(B27="Amber",
(Assets!C28*0.3)+(Assets!E28*0.12)+(Assets!G28*0.09)+(Assets!J28*0.17)+(Assets!L28*0.25)+(Assets!N28*0.07),
(Assets!C28*0.15)+(Assets!E28*0.03)+(Assets!G28*0.07)+(Assets!J28*0.33)+(Assets!L28*0.35)+(Assets!N28*0.07)))</f>
        <v>1.2779999999999998E-2</v>
      </c>
      <c r="E27" s="12">
        <f t="shared" si="0"/>
        <v>1.1371802646885878</v>
      </c>
      <c r="F27" s="10">
        <f t="shared" si="1"/>
        <v>1.1381800868309271</v>
      </c>
      <c r="G27" s="12"/>
    </row>
    <row r="28" spans="1:10" x14ac:dyDescent="0.35">
      <c r="A28" s="4">
        <v>42552</v>
      </c>
      <c r="B28" s="25" t="str">
        <f>'Risk Score'!F28</f>
        <v>Green</v>
      </c>
      <c r="C28" s="14">
        <f>(Assets!C29*0.35)+(Assets!E29*0.15)+(Assets!G29*0.1)+(Assets!J29*0.05)+(Assets!L29*0.2)+(Assets!N29*0.05)</f>
        <v>1.3489999999999997E-2</v>
      </c>
      <c r="D28" s="14">
        <f>IF(B28="Green",
(Assets!C29*0.35)+(Assets!E29*0.15)+(Assets!G29*0.1)+(Assets!J29*0.15)+(Assets!L29*0.2)+(Assets!N29*0.05),
IF(B28="Amber",
(Assets!C29*0.3)+(Assets!E29*0.12)+(Assets!G29*0.09)+(Assets!J29*0.17)+(Assets!L29*0.25)+(Assets!N29*0.07),
(Assets!C29*0.15)+(Assets!E29*0.03)+(Assets!G29*0.07)+(Assets!J29*0.33)+(Assets!L29*0.35)+(Assets!N29*0.07)))</f>
        <v>1.4169999999999997E-2</v>
      </c>
      <c r="E28" s="12">
        <f t="shared" si="0"/>
        <v>1.1525208264592368</v>
      </c>
      <c r="F28" s="10">
        <f t="shared" si="1"/>
        <v>1.1543080986613214</v>
      </c>
      <c r="G28" s="12"/>
    </row>
    <row r="29" spans="1:10" x14ac:dyDescent="0.35">
      <c r="A29" s="4">
        <v>42583</v>
      </c>
      <c r="B29" s="25" t="str">
        <f>'Risk Score'!F29</f>
        <v>Green</v>
      </c>
      <c r="C29" s="14">
        <f>(Assets!C30*0.35)+(Assets!E30*0.15)+(Assets!G30*0.1)+(Assets!J30*0.05)+(Assets!L30*0.2)+(Assets!N30*0.05)</f>
        <v>8.2749999999999994E-3</v>
      </c>
      <c r="D29" s="14">
        <f>IF(B29="Green",
(Assets!C30*0.35)+(Assets!E30*0.15)+(Assets!G30*0.1)+(Assets!J30*0.15)+(Assets!L30*0.2)+(Assets!N30*0.05),
IF(B29="Amber",
(Assets!C30*0.3)+(Assets!E30*0.12)+(Assets!G30*0.09)+(Assets!J30*0.17)+(Assets!L30*0.25)+(Assets!N30*0.07),
(Assets!C30*0.15)+(Assets!E30*0.03)+(Assets!G30*0.07)+(Assets!J30*0.33)+(Assets!L30*0.35)+(Assets!N30*0.07)))</f>
        <v>8.8349999999999991E-3</v>
      </c>
      <c r="E29" s="12">
        <f t="shared" si="0"/>
        <v>1.1620579362981871</v>
      </c>
      <c r="F29" s="10">
        <f t="shared" si="1"/>
        <v>1.1645064107129941</v>
      </c>
      <c r="G29" s="12"/>
    </row>
    <row r="30" spans="1:10" x14ac:dyDescent="0.35">
      <c r="A30" s="4">
        <v>42614</v>
      </c>
      <c r="B30" s="25" t="str">
        <f>'Risk Score'!F30</f>
        <v>Green</v>
      </c>
      <c r="C30" s="14">
        <f>(Assets!C31*0.35)+(Assets!E31*0.15)+(Assets!G31*0.1)+(Assets!J31*0.05)+(Assets!L31*0.2)+(Assets!N31*0.05)</f>
        <v>-1.754E-2</v>
      </c>
      <c r="D30" s="14">
        <f>IF(B30="Green",
(Assets!C31*0.35)+(Assets!E31*0.15)+(Assets!G31*0.1)+(Assets!J31*0.15)+(Assets!L31*0.2)+(Assets!N31*0.05),
IF(B30="Amber",
(Assets!C31*0.3)+(Assets!E31*0.12)+(Assets!G31*0.09)+(Assets!J31*0.17)+(Assets!L31*0.25)+(Assets!N31*0.07),
(Assets!C31*0.15)+(Assets!E31*0.03)+(Assets!G31*0.07)+(Assets!J31*0.33)+(Assets!L31*0.35)+(Assets!N31*0.07)))</f>
        <v>-1.7070000000000002E-2</v>
      </c>
      <c r="E30" s="12">
        <f t="shared" si="0"/>
        <v>1.1416754400955169</v>
      </c>
      <c r="F30" s="10">
        <f t="shared" si="1"/>
        <v>1.1446282862821233</v>
      </c>
      <c r="G30" s="12"/>
    </row>
    <row r="31" spans="1:10" x14ac:dyDescent="0.35">
      <c r="A31" s="4">
        <v>42644</v>
      </c>
      <c r="B31" s="25" t="str">
        <f>'Risk Score'!F31</f>
        <v>Green</v>
      </c>
      <c r="C31" s="14">
        <f>(Assets!C32*0.35)+(Assets!E32*0.15)+(Assets!G32*0.1)+(Assets!J32*0.05)+(Assets!L32*0.2)+(Assets!N32*0.05)</f>
        <v>-2.3300000000000005E-3</v>
      </c>
      <c r="D31" s="14">
        <f>IF(B31="Green",
(Assets!C32*0.35)+(Assets!E32*0.15)+(Assets!G32*0.1)+(Assets!J32*0.15)+(Assets!L32*0.2)+(Assets!N32*0.05),
IF(B31="Amber",
(Assets!C32*0.3)+(Assets!E32*0.12)+(Assets!G32*0.09)+(Assets!J32*0.17)+(Assets!L32*0.25)+(Assets!N32*0.07),
(Assets!C32*0.15)+(Assets!E32*0.03)+(Assets!G32*0.07)+(Assets!J32*0.33)+(Assets!L32*0.35)+(Assets!N32*0.07)))</f>
        <v>-3.7800000000000004E-3</v>
      </c>
      <c r="E31" s="12">
        <f t="shared" si="0"/>
        <v>1.1390153363200943</v>
      </c>
      <c r="F31" s="10">
        <f t="shared" si="1"/>
        <v>1.140301591359977</v>
      </c>
      <c r="G31" s="12"/>
    </row>
    <row r="32" spans="1:10" x14ac:dyDescent="0.35">
      <c r="A32" s="4">
        <v>42675</v>
      </c>
      <c r="B32" s="25" t="str">
        <f>'Risk Score'!F32</f>
        <v>Green</v>
      </c>
      <c r="C32" s="14">
        <f>(Assets!C33*0.35)+(Assets!E33*0.15)+(Assets!G33*0.1)+(Assets!J33*0.05)+(Assets!L33*0.2)+(Assets!N33*0.05)</f>
        <v>-4.2805000000000003E-2</v>
      </c>
      <c r="D32" s="14">
        <f>IF(B32="Green",
(Assets!C33*0.35)+(Assets!E33*0.15)+(Assets!G33*0.1)+(Assets!J33*0.15)+(Assets!L33*0.2)+(Assets!N33*0.05),
IF(B32="Amber",
(Assets!C33*0.3)+(Assets!E33*0.12)+(Assets!G33*0.09)+(Assets!J33*0.17)+(Assets!L33*0.25)+(Assets!N33*0.07),
(Assets!C33*0.15)+(Assets!E33*0.03)+(Assets!G33*0.07)+(Assets!J33*0.33)+(Assets!L33*0.35)+(Assets!N33*0.07)))</f>
        <v>-4.7785000000000001E-2</v>
      </c>
      <c r="E32" s="12">
        <f t="shared" si="0"/>
        <v>1.0902597848489126</v>
      </c>
      <c r="F32" s="10">
        <f t="shared" si="1"/>
        <v>1.0858122798168406</v>
      </c>
      <c r="G32" s="12"/>
    </row>
    <row r="33" spans="1:7" x14ac:dyDescent="0.35">
      <c r="A33" s="4">
        <v>42705</v>
      </c>
      <c r="B33" s="25" t="str">
        <f>'Risk Score'!F33</f>
        <v>Green</v>
      </c>
      <c r="C33" s="14">
        <f>(Assets!C34*0.35)+(Assets!E34*0.15)+(Assets!G34*0.1)+(Assets!J34*0.05)+(Assets!L34*0.2)+(Assets!N34*0.05)</f>
        <v>4.4350000000000014E-3</v>
      </c>
      <c r="D33" s="14">
        <f>IF(B33="Green",
(Assets!C34*0.35)+(Assets!E34*0.15)+(Assets!G34*0.1)+(Assets!J34*0.15)+(Assets!L34*0.2)+(Assets!N34*0.05),
IF(B33="Amber",
(Assets!C34*0.3)+(Assets!E34*0.12)+(Assets!G34*0.09)+(Assets!J34*0.17)+(Assets!L34*0.25)+(Assets!N34*0.07),
(Assets!C34*0.15)+(Assets!E34*0.03)+(Assets!G34*0.07)+(Assets!J34*0.33)+(Assets!L34*0.35)+(Assets!N34*0.07)))</f>
        <v>1.375000000000003E-3</v>
      </c>
      <c r="E33" s="12">
        <f t="shared" si="0"/>
        <v>1.0950950869947176</v>
      </c>
      <c r="F33" s="10">
        <f t="shared" si="1"/>
        <v>1.0873052717015885</v>
      </c>
      <c r="G33" s="12"/>
    </row>
    <row r="34" spans="1:7" x14ac:dyDescent="0.35">
      <c r="A34" s="4">
        <v>42736</v>
      </c>
      <c r="B34" s="25" t="str">
        <f>'Risk Score'!F34</f>
        <v>Green</v>
      </c>
      <c r="C34" s="14">
        <f>(Assets!C35*0.35)+(Assets!E35*0.15)+(Assets!G35*0.1)+(Assets!J35*0.05)+(Assets!L35*0.2)+(Assets!N35*0.05)</f>
        <v>1.9539999999999998E-2</v>
      </c>
      <c r="D34" s="14">
        <f>IF(B34="Green",
(Assets!C35*0.35)+(Assets!E35*0.15)+(Assets!G35*0.1)+(Assets!J35*0.15)+(Assets!L35*0.2)+(Assets!N35*0.05),
IF(B34="Amber",
(Assets!C35*0.3)+(Assets!E35*0.12)+(Assets!G35*0.09)+(Assets!J35*0.17)+(Assets!L35*0.25)+(Assets!N35*0.07),
(Assets!C35*0.15)+(Assets!E35*0.03)+(Assets!G35*0.07)+(Assets!J35*0.33)+(Assets!L35*0.35)+(Assets!N35*0.07)))</f>
        <v>2.2119999999999997E-2</v>
      </c>
      <c r="E34" s="12">
        <f t="shared" si="0"/>
        <v>1.1164932449945943</v>
      </c>
      <c r="F34" s="10">
        <f t="shared" si="1"/>
        <v>1.1113564643116276</v>
      </c>
      <c r="G34" s="12"/>
    </row>
    <row r="35" spans="1:7" x14ac:dyDescent="0.35">
      <c r="A35" s="4">
        <v>42767</v>
      </c>
      <c r="B35" s="25" t="str">
        <f>'Risk Score'!F35</f>
        <v>Green</v>
      </c>
      <c r="C35" s="14">
        <f>(Assets!C36*0.35)+(Assets!E36*0.15)+(Assets!G36*0.1)+(Assets!J36*0.05)+(Assets!L36*0.2)+(Assets!N36*0.05)</f>
        <v>4.5104999999999999E-2</v>
      </c>
      <c r="D35" s="14">
        <f>IF(B35="Green",
(Assets!C36*0.35)+(Assets!E36*0.15)+(Assets!G36*0.1)+(Assets!J36*0.15)+(Assets!L36*0.2)+(Assets!N36*0.05),
IF(B35="Amber",
(Assets!C36*0.3)+(Assets!E36*0.12)+(Assets!G36*0.09)+(Assets!J36*0.17)+(Assets!L36*0.25)+(Assets!N36*0.07),
(Assets!C36*0.15)+(Assets!E36*0.03)+(Assets!G36*0.07)+(Assets!J36*0.33)+(Assets!L36*0.35)+(Assets!N36*0.07)))</f>
        <v>4.7824999999999999E-2</v>
      </c>
      <c r="E35" s="12">
        <f t="shared" si="0"/>
        <v>1.1668526728100754</v>
      </c>
      <c r="F35" s="10">
        <f t="shared" si="1"/>
        <v>1.1645070872173311</v>
      </c>
      <c r="G35" s="12"/>
    </row>
    <row r="36" spans="1:7" x14ac:dyDescent="0.35">
      <c r="A36" s="4">
        <v>42795</v>
      </c>
      <c r="B36" s="25" t="str">
        <f>'Risk Score'!F36</f>
        <v>Green</v>
      </c>
      <c r="C36" s="14">
        <f>(Assets!C37*0.35)+(Assets!E37*0.15)+(Assets!G37*0.1)+(Assets!J37*0.05)+(Assets!L37*0.2)+(Assets!N37*0.05)</f>
        <v>8.6699999999999937E-3</v>
      </c>
      <c r="D36" s="14">
        <f>IF(B36="Green",
(Assets!C37*0.35)+(Assets!E37*0.15)+(Assets!G37*0.1)+(Assets!J37*0.15)+(Assets!L37*0.2)+(Assets!N37*0.05),
IF(B36="Amber",
(Assets!C37*0.3)+(Assets!E37*0.12)+(Assets!G37*0.09)+(Assets!J37*0.17)+(Assets!L37*0.25)+(Assets!N37*0.07),
(Assets!C37*0.15)+(Assets!E37*0.03)+(Assets!G37*0.07)+(Assets!J37*0.33)+(Assets!L37*0.35)+(Assets!N37*0.07)))</f>
        <v>5.3699999999999946E-3</v>
      </c>
      <c r="E36" s="12">
        <f t="shared" si="0"/>
        <v>1.1769692854833387</v>
      </c>
      <c r="F36" s="10">
        <f t="shared" si="1"/>
        <v>1.1707604902756883</v>
      </c>
      <c r="G36" s="12"/>
    </row>
    <row r="37" spans="1:7" x14ac:dyDescent="0.35">
      <c r="A37" s="4">
        <v>42826</v>
      </c>
      <c r="B37" s="25" t="str">
        <f>'Risk Score'!F37</f>
        <v>Green</v>
      </c>
      <c r="C37" s="14">
        <f>(Assets!C38*0.35)+(Assets!E38*0.15)+(Assets!G38*0.1)+(Assets!J38*0.05)+(Assets!L38*0.2)+(Assets!N38*0.05)</f>
        <v>1.3445E-2</v>
      </c>
      <c r="D37" s="14">
        <f>IF(B37="Green",
(Assets!C38*0.35)+(Assets!E38*0.15)+(Assets!G38*0.1)+(Assets!J38*0.15)+(Assets!L38*0.2)+(Assets!N38*0.05),
IF(B37="Amber",
(Assets!C38*0.3)+(Assets!E38*0.12)+(Assets!G38*0.09)+(Assets!J38*0.17)+(Assets!L38*0.25)+(Assets!N38*0.07),
(Assets!C38*0.15)+(Assets!E38*0.03)+(Assets!G38*0.07)+(Assets!J38*0.33)+(Assets!L38*0.35)+(Assets!N38*0.07)))</f>
        <v>1.4505000000000001E-2</v>
      </c>
      <c r="E37" s="12">
        <f t="shared" si="0"/>
        <v>1.1927936375266621</v>
      </c>
      <c r="F37" s="10">
        <f t="shared" si="1"/>
        <v>1.1877423711871371</v>
      </c>
      <c r="G37" s="12"/>
    </row>
    <row r="38" spans="1:7" x14ac:dyDescent="0.35">
      <c r="A38" s="4">
        <v>42856</v>
      </c>
      <c r="B38" s="25" t="str">
        <f>'Risk Score'!F38</f>
        <v>Green</v>
      </c>
      <c r="C38" s="14">
        <f>(Assets!C39*0.35)+(Assets!E39*0.15)+(Assets!G39*0.1)+(Assets!J39*0.05)+(Assets!L39*0.2)+(Assets!N39*0.05)</f>
        <v>1.6325000000000003E-2</v>
      </c>
      <c r="D38" s="14">
        <f>IF(B38="Green",
(Assets!C39*0.35)+(Assets!E39*0.15)+(Assets!G39*0.1)+(Assets!J39*0.15)+(Assets!L39*0.2)+(Assets!N39*0.05),
IF(B38="Amber",
(Assets!C39*0.3)+(Assets!E39*0.12)+(Assets!G39*0.09)+(Assets!J39*0.17)+(Assets!L39*0.25)+(Assets!N39*0.07),
(Assets!C39*0.15)+(Assets!E39*0.03)+(Assets!G39*0.07)+(Assets!J39*0.33)+(Assets!L39*0.35)+(Assets!N39*0.07)))</f>
        <v>1.5484999999999999E-2</v>
      </c>
      <c r="E38" s="12">
        <f t="shared" si="0"/>
        <v>1.2122659936592848</v>
      </c>
      <c r="F38" s="10">
        <f t="shared" si="1"/>
        <v>1.2061345618049699</v>
      </c>
      <c r="G38" s="12"/>
    </row>
    <row r="39" spans="1:7" x14ac:dyDescent="0.35">
      <c r="A39" s="4">
        <v>42887</v>
      </c>
      <c r="B39" s="25" t="str">
        <f>'Risk Score'!F39</f>
        <v>Green</v>
      </c>
      <c r="C39" s="14">
        <f>(Assets!C40*0.35)+(Assets!E40*0.15)+(Assets!G40*0.1)+(Assets!J40*0.05)+(Assets!L40*0.2)+(Assets!N40*0.05)</f>
        <v>-1.3955E-2</v>
      </c>
      <c r="D39" s="14">
        <f>IF(B39="Green",
(Assets!C40*0.35)+(Assets!E40*0.15)+(Assets!G40*0.1)+(Assets!J40*0.15)+(Assets!L40*0.2)+(Assets!N40*0.05),
IF(B39="Amber",
(Assets!C40*0.3)+(Assets!E40*0.12)+(Assets!G40*0.09)+(Assets!J40*0.17)+(Assets!L40*0.25)+(Assets!N40*0.07),
(Assets!C40*0.15)+(Assets!E40*0.03)+(Assets!G40*0.07)+(Assets!J40*0.33)+(Assets!L40*0.35)+(Assets!N40*0.07)))</f>
        <v>-1.5544999999999998E-2</v>
      </c>
      <c r="E39" s="12">
        <f t="shared" si="0"/>
        <v>1.1953488217177695</v>
      </c>
      <c r="F39" s="10">
        <f t="shared" si="1"/>
        <v>1.1873852000417116</v>
      </c>
      <c r="G39" s="12"/>
    </row>
    <row r="40" spans="1:7" x14ac:dyDescent="0.35">
      <c r="A40" s="4">
        <v>42917</v>
      </c>
      <c r="B40" s="25" t="str">
        <f>'Risk Score'!F40</f>
        <v>Green</v>
      </c>
      <c r="C40" s="14">
        <f>(Assets!C41*0.35)+(Assets!E41*0.15)+(Assets!G41*0.1)+(Assets!J41*0.05)+(Assets!L41*0.2)+(Assets!N41*0.05)</f>
        <v>3.6705000000000008E-2</v>
      </c>
      <c r="D40" s="14">
        <f>IF(B40="Green",
(Assets!C41*0.35)+(Assets!E41*0.15)+(Assets!G41*0.1)+(Assets!J41*0.15)+(Assets!L41*0.2)+(Assets!N41*0.05),
IF(B40="Amber",
(Assets!C41*0.3)+(Assets!E41*0.12)+(Assets!G41*0.09)+(Assets!J41*0.17)+(Assets!L41*0.25)+(Assets!N41*0.07),
(Assets!C41*0.15)+(Assets!E41*0.03)+(Assets!G41*0.07)+(Assets!J41*0.33)+(Assets!L41*0.35)+(Assets!N41*0.07)))</f>
        <v>3.6475000000000007E-2</v>
      </c>
      <c r="E40" s="12">
        <f t="shared" si="0"/>
        <v>1.2392241002189202</v>
      </c>
      <c r="F40" s="10">
        <f t="shared" si="1"/>
        <v>1.2306950752132331</v>
      </c>
      <c r="G40" s="12"/>
    </row>
    <row r="41" spans="1:7" x14ac:dyDescent="0.35">
      <c r="A41" s="4">
        <v>42948</v>
      </c>
      <c r="B41" s="25" t="str">
        <f>'Risk Score'!F41</f>
        <v>Green</v>
      </c>
      <c r="C41" s="14">
        <f>(Assets!C42*0.35)+(Assets!E42*0.15)+(Assets!G42*0.1)+(Assets!J42*0.05)+(Assets!L42*0.2)+(Assets!N42*0.05)</f>
        <v>-8.8050000000000003E-3</v>
      </c>
      <c r="D41" s="14">
        <f>IF(B41="Green",
(Assets!C42*0.35)+(Assets!E42*0.15)+(Assets!G42*0.1)+(Assets!J42*0.15)+(Assets!L42*0.2)+(Assets!N42*0.05),
IF(B41="Amber",
(Assets!C42*0.3)+(Assets!E42*0.12)+(Assets!G42*0.09)+(Assets!J42*0.17)+(Assets!L42*0.25)+(Assets!N42*0.07),
(Assets!C42*0.15)+(Assets!E42*0.03)+(Assets!G42*0.07)+(Assets!J42*0.33)+(Assets!L42*0.35)+(Assets!N42*0.07)))</f>
        <v>-5.635000000000002E-3</v>
      </c>
      <c r="E41" s="12">
        <f t="shared" si="0"/>
        <v>1.2283127320164926</v>
      </c>
      <c r="F41" s="10">
        <f t="shared" si="1"/>
        <v>1.2237601084644065</v>
      </c>
      <c r="G41" s="12"/>
    </row>
    <row r="42" spans="1:7" x14ac:dyDescent="0.35">
      <c r="A42" s="4">
        <v>42979</v>
      </c>
      <c r="B42" s="25" t="str">
        <f>'Risk Score'!F42</f>
        <v>Green</v>
      </c>
      <c r="C42" s="14">
        <f>(Assets!C43*0.35)+(Assets!E43*0.15)+(Assets!G43*0.1)+(Assets!J43*0.05)+(Assets!L43*0.2)+(Assets!N43*0.05)</f>
        <v>-1.4249999999999988E-3</v>
      </c>
      <c r="D42" s="14">
        <f>IF(B42="Green",
(Assets!C43*0.35)+(Assets!E43*0.15)+(Assets!G43*0.1)+(Assets!J43*0.15)+(Assets!L43*0.2)+(Assets!N43*0.05),
IF(B42="Amber",
(Assets!C43*0.3)+(Assets!E43*0.12)+(Assets!G43*0.09)+(Assets!J43*0.17)+(Assets!L43*0.25)+(Assets!N43*0.07),
(Assets!C43*0.15)+(Assets!E43*0.03)+(Assets!G43*0.07)+(Assets!J43*0.33)+(Assets!L43*0.35)+(Assets!N43*0.07)))</f>
        <v>-9.1499999999999871E-4</v>
      </c>
      <c r="E42" s="12">
        <f t="shared" si="0"/>
        <v>1.226562386373369</v>
      </c>
      <c r="F42" s="10">
        <f t="shared" si="1"/>
        <v>1.2226403679651616</v>
      </c>
      <c r="G42" s="12"/>
    </row>
    <row r="43" spans="1:7" x14ac:dyDescent="0.35">
      <c r="A43" s="4">
        <v>43009</v>
      </c>
      <c r="B43" s="25" t="str">
        <f>'Risk Score'!F43</f>
        <v>Green</v>
      </c>
      <c r="C43" s="14">
        <f>(Assets!C44*0.35)+(Assets!E44*0.15)+(Assets!G44*0.1)+(Assets!J44*0.05)+(Assets!L44*0.2)+(Assets!N44*0.05)</f>
        <v>3.4055000000000002E-2</v>
      </c>
      <c r="D43" s="14">
        <f>IF(B43="Green",
(Assets!C44*0.35)+(Assets!E44*0.15)+(Assets!G44*0.1)+(Assets!J44*0.15)+(Assets!L44*0.2)+(Assets!N44*0.05),
IF(B43="Amber",
(Assets!C44*0.3)+(Assets!E44*0.12)+(Assets!G44*0.09)+(Assets!J44*0.17)+(Assets!L44*0.25)+(Assets!N44*0.07),
(Assets!C44*0.15)+(Assets!E44*0.03)+(Assets!G44*0.07)+(Assets!J44*0.33)+(Assets!L44*0.35)+(Assets!N44*0.07)))</f>
        <v>3.2965000000000001E-2</v>
      </c>
      <c r="E43" s="12">
        <f t="shared" si="0"/>
        <v>1.268332968441314</v>
      </c>
      <c r="F43" s="10">
        <f t="shared" si="1"/>
        <v>1.262944707695133</v>
      </c>
      <c r="G43" s="12"/>
    </row>
    <row r="44" spans="1:7" x14ac:dyDescent="0.35">
      <c r="A44" s="4">
        <v>43040</v>
      </c>
      <c r="B44" s="25" t="str">
        <f>'Risk Score'!F44</f>
        <v>Green</v>
      </c>
      <c r="C44" s="14">
        <f>(Assets!C45*0.35)+(Assets!E45*0.15)+(Assets!G45*0.1)+(Assets!J45*0.05)+(Assets!L45*0.2)+(Assets!N45*0.05)</f>
        <v>6.1450000000000012E-3</v>
      </c>
      <c r="D44" s="14">
        <f>IF(B44="Green",
(Assets!C45*0.35)+(Assets!E45*0.15)+(Assets!G45*0.1)+(Assets!J45*0.15)+(Assets!L45*0.2)+(Assets!N45*0.05),
IF(B44="Amber",
(Assets!C45*0.3)+(Assets!E45*0.12)+(Assets!G45*0.09)+(Assets!J45*0.17)+(Assets!L45*0.25)+(Assets!N45*0.07),
(Assets!C45*0.15)+(Assets!E45*0.03)+(Assets!G45*0.07)+(Assets!J45*0.33)+(Assets!L45*0.35)+(Assets!N45*0.07)))</f>
        <v>5.8750000000000009E-3</v>
      </c>
      <c r="E44" s="12">
        <f t="shared" si="0"/>
        <v>1.2761268745323859</v>
      </c>
      <c r="F44" s="10">
        <f t="shared" si="1"/>
        <v>1.2703645078528421</v>
      </c>
      <c r="G44" s="12"/>
    </row>
    <row r="45" spans="1:7" x14ac:dyDescent="0.35">
      <c r="A45" s="4">
        <v>43070</v>
      </c>
      <c r="B45" s="25" t="str">
        <f>'Risk Score'!F45</f>
        <v>Green</v>
      </c>
      <c r="C45" s="14">
        <f>(Assets!C46*0.35)+(Assets!E46*0.15)+(Assets!G46*0.1)+(Assets!J46*0.05)+(Assets!L46*0.2)+(Assets!N46*0.05)</f>
        <v>2.3609999999999999E-2</v>
      </c>
      <c r="D45" s="14">
        <f>IF(B45="Green",
(Assets!C46*0.35)+(Assets!E46*0.15)+(Assets!G46*0.1)+(Assets!J46*0.15)+(Assets!L46*0.2)+(Assets!N46*0.05),
IF(B45="Amber",
(Assets!C46*0.3)+(Assets!E46*0.12)+(Assets!G46*0.09)+(Assets!J46*0.17)+(Assets!L46*0.25)+(Assets!N46*0.07),
(Assets!C46*0.15)+(Assets!E46*0.03)+(Assets!G46*0.07)+(Assets!J46*0.33)+(Assets!L46*0.35)+(Assets!N46*0.07)))</f>
        <v>2.349E-2</v>
      </c>
      <c r="E45" s="12">
        <f t="shared" si="0"/>
        <v>1.3062562300400955</v>
      </c>
      <c r="F45" s="10">
        <f t="shared" si="1"/>
        <v>1.3002053701423053</v>
      </c>
      <c r="G45" s="12"/>
    </row>
    <row r="46" spans="1:7" x14ac:dyDescent="0.35">
      <c r="A46" s="4">
        <v>43101</v>
      </c>
      <c r="B46" s="25" t="str">
        <f>'Risk Score'!F46</f>
        <v>Green</v>
      </c>
      <c r="C46" s="14">
        <f>(Assets!C47*0.35)+(Assets!E47*0.15)+(Assets!G47*0.1)+(Assets!J47*0.05)+(Assets!L47*0.2)+(Assets!N47*0.05)</f>
        <v>4.281999999999999E-2</v>
      </c>
      <c r="D46" s="14">
        <f>IF(B46="Green",
(Assets!C47*0.35)+(Assets!E47*0.15)+(Assets!G47*0.1)+(Assets!J47*0.15)+(Assets!L47*0.2)+(Assets!N47*0.05),
IF(B46="Amber",
(Assets!C47*0.3)+(Assets!E47*0.12)+(Assets!G47*0.09)+(Assets!J47*0.17)+(Assets!L47*0.25)+(Assets!N47*0.07),
(Assets!C47*0.15)+(Assets!E47*0.03)+(Assets!G47*0.07)+(Assets!J47*0.33)+(Assets!L47*0.35)+(Assets!N47*0.07)))</f>
        <v>4.5949999999999991E-2</v>
      </c>
      <c r="E46" s="12">
        <f t="shared" si="0"/>
        <v>1.3621901218104124</v>
      </c>
      <c r="F46" s="10">
        <f t="shared" si="1"/>
        <v>1.3599498069003442</v>
      </c>
      <c r="G46" s="12"/>
    </row>
    <row r="47" spans="1:7" x14ac:dyDescent="0.35">
      <c r="A47" s="4">
        <v>43132</v>
      </c>
      <c r="B47" s="25" t="str">
        <f>'Risk Score'!F47</f>
        <v>Green</v>
      </c>
      <c r="C47" s="14">
        <f>(Assets!C48*0.35)+(Assets!E48*0.15)+(Assets!G48*0.1)+(Assets!J48*0.05)+(Assets!L48*0.2)+(Assets!N48*0.05)</f>
        <v>-2.1135000000000001E-2</v>
      </c>
      <c r="D47" s="14">
        <f>IF(B47="Green",
(Assets!C48*0.35)+(Assets!E48*0.15)+(Assets!G48*0.1)+(Assets!J48*0.15)+(Assets!L48*0.2)+(Assets!N48*0.05),
IF(B47="Amber",
(Assets!C48*0.3)+(Assets!E48*0.12)+(Assets!G48*0.09)+(Assets!J48*0.17)+(Assets!L48*0.25)+(Assets!N48*0.07),
(Assets!C48*0.15)+(Assets!E48*0.03)+(Assets!G48*0.07)+(Assets!J48*0.33)+(Assets!L48*0.35)+(Assets!N48*0.07)))</f>
        <v>-2.0345000000000002E-2</v>
      </c>
      <c r="E47" s="12">
        <f t="shared" si="0"/>
        <v>1.3334002335859494</v>
      </c>
      <c r="F47" s="10">
        <f t="shared" si="1"/>
        <v>1.3322816280789567</v>
      </c>
      <c r="G47" s="12"/>
    </row>
    <row r="48" spans="1:7" x14ac:dyDescent="0.35">
      <c r="A48" s="4">
        <v>43160</v>
      </c>
      <c r="B48" s="25" t="str">
        <f>'Risk Score'!F48</f>
        <v>Green</v>
      </c>
      <c r="C48" s="14">
        <f>(Assets!C49*0.35)+(Assets!E49*0.15)+(Assets!G49*0.1)+(Assets!J49*0.05)+(Assets!L49*0.2)+(Assets!N49*0.05)</f>
        <v>-2.8279999999999996E-2</v>
      </c>
      <c r="D48" s="14">
        <f>IF(B48="Green",
(Assets!C49*0.35)+(Assets!E49*0.15)+(Assets!G49*0.1)+(Assets!J49*0.15)+(Assets!L49*0.2)+(Assets!N49*0.05),
IF(B48="Amber",
(Assets!C49*0.3)+(Assets!E49*0.12)+(Assets!G49*0.09)+(Assets!J49*0.17)+(Assets!L49*0.25)+(Assets!N49*0.07),
(Assets!C49*0.15)+(Assets!E49*0.03)+(Assets!G49*0.07)+(Assets!J49*0.33)+(Assets!L49*0.35)+(Assets!N49*0.07)))</f>
        <v>-2.7709999999999995E-2</v>
      </c>
      <c r="E48" s="12">
        <f t="shared" si="0"/>
        <v>1.2956916749801388</v>
      </c>
      <c r="F48" s="10">
        <f t="shared" si="1"/>
        <v>1.2953641041648887</v>
      </c>
      <c r="G48" s="12"/>
    </row>
    <row r="49" spans="1:7" x14ac:dyDescent="0.35">
      <c r="A49" s="4">
        <v>43191</v>
      </c>
      <c r="B49" s="25" t="str">
        <f>'Risk Score'!F49</f>
        <v>Green</v>
      </c>
      <c r="C49" s="14">
        <f>(Assets!C50*0.35)+(Assets!E50*0.15)+(Assets!G50*0.1)+(Assets!J50*0.05)+(Assets!L50*0.2)+(Assets!N50*0.05)</f>
        <v>5.2840000000000005E-2</v>
      </c>
      <c r="D49" s="14">
        <f>IF(B49="Green",
(Assets!C50*0.35)+(Assets!E50*0.15)+(Assets!G50*0.1)+(Assets!J50*0.15)+(Assets!L50*0.2)+(Assets!N50*0.05),
IF(B49="Amber",
(Assets!C50*0.3)+(Assets!E50*0.12)+(Assets!G50*0.09)+(Assets!J50*0.17)+(Assets!L50*0.25)+(Assets!N50*0.07),
(Assets!C50*0.15)+(Assets!E50*0.03)+(Assets!G50*0.07)+(Assets!J50*0.33)+(Assets!L50*0.35)+(Assets!N50*0.07)))</f>
        <v>5.3900000000000003E-2</v>
      </c>
      <c r="E49" s="12">
        <f t="shared" si="0"/>
        <v>1.3641560230860894</v>
      </c>
      <c r="F49" s="10">
        <f t="shared" si="1"/>
        <v>1.3651842293793763</v>
      </c>
      <c r="G49" s="12"/>
    </row>
    <row r="50" spans="1:7" x14ac:dyDescent="0.35">
      <c r="A50" s="4">
        <v>43221</v>
      </c>
      <c r="B50" s="25" t="str">
        <f>'Risk Score'!F50</f>
        <v>Green</v>
      </c>
      <c r="C50" s="14">
        <f>(Assets!C51*0.35)+(Assets!E51*0.15)+(Assets!G51*0.1)+(Assets!J51*0.05)+(Assets!L51*0.2)+(Assets!N51*0.05)</f>
        <v>8.2850000000000007E-3</v>
      </c>
      <c r="D50" s="14">
        <f>IF(B50="Green",
(Assets!C51*0.35)+(Assets!E51*0.15)+(Assets!G51*0.1)+(Assets!J51*0.15)+(Assets!L51*0.2)+(Assets!N51*0.05),
IF(B50="Amber",
(Assets!C51*0.3)+(Assets!E51*0.12)+(Assets!G51*0.09)+(Assets!J51*0.17)+(Assets!L51*0.25)+(Assets!N51*0.07),
(Assets!C51*0.15)+(Assets!E51*0.03)+(Assets!G51*0.07)+(Assets!J51*0.33)+(Assets!L51*0.35)+(Assets!N51*0.07)))</f>
        <v>8.405000000000001E-3</v>
      </c>
      <c r="E50" s="12">
        <f t="shared" si="0"/>
        <v>1.3754580557373577</v>
      </c>
      <c r="F50" s="10">
        <f t="shared" si="1"/>
        <v>1.37665860282731</v>
      </c>
      <c r="G50" s="12"/>
    </row>
    <row r="51" spans="1:7" x14ac:dyDescent="0.35">
      <c r="A51" s="4">
        <v>43252</v>
      </c>
      <c r="B51" s="25" t="str">
        <f>'Risk Score'!F51</f>
        <v>Green</v>
      </c>
      <c r="C51" s="14">
        <f>(Assets!C52*0.35)+(Assets!E52*0.15)+(Assets!G52*0.1)+(Assets!J52*0.05)+(Assets!L52*0.2)+(Assets!N52*0.05)</f>
        <v>-7.9999999999999342E-5</v>
      </c>
      <c r="D51" s="14">
        <f>IF(B51="Green",
(Assets!C52*0.35)+(Assets!E52*0.15)+(Assets!G52*0.1)+(Assets!J52*0.15)+(Assets!L52*0.2)+(Assets!N52*0.05),
IF(B51="Amber",
(Assets!C52*0.3)+(Assets!E52*0.12)+(Assets!G52*0.09)+(Assets!J52*0.17)+(Assets!L52*0.25)+(Assets!N52*0.07),
(Assets!C52*0.15)+(Assets!E52*0.03)+(Assets!G52*0.07)+(Assets!J52*0.33)+(Assets!L52*0.35)+(Assets!N52*0.07)))</f>
        <v>-2.429999999999999E-3</v>
      </c>
      <c r="E51" s="12">
        <f t="shared" si="0"/>
        <v>1.3753480190928988</v>
      </c>
      <c r="F51" s="10">
        <f t="shared" si="1"/>
        <v>1.3733133224224396</v>
      </c>
      <c r="G51" s="12"/>
    </row>
    <row r="52" spans="1:7" x14ac:dyDescent="0.35">
      <c r="A52" s="4">
        <v>43282</v>
      </c>
      <c r="B52" s="25" t="str">
        <f>'Risk Score'!F52</f>
        <v>Green</v>
      </c>
      <c r="C52" s="14">
        <f>(Assets!C53*0.35)+(Assets!E53*0.15)+(Assets!G53*0.1)+(Assets!J53*0.05)+(Assets!L53*0.2)+(Assets!N53*0.05)</f>
        <v>2.8735E-2</v>
      </c>
      <c r="D52" s="14">
        <f>IF(B52="Green",
(Assets!C53*0.35)+(Assets!E53*0.15)+(Assets!G53*0.1)+(Assets!J53*0.15)+(Assets!L53*0.2)+(Assets!N53*0.05),
IF(B52="Amber",
(Assets!C53*0.3)+(Assets!E53*0.12)+(Assets!G53*0.09)+(Assets!J53*0.17)+(Assets!L53*0.25)+(Assets!N53*0.07),
(Assets!C53*0.15)+(Assets!E53*0.03)+(Assets!G53*0.07)+(Assets!J53*0.33)+(Assets!L53*0.35)+(Assets!N53*0.07)))</f>
        <v>2.6425000000000004E-2</v>
      </c>
      <c r="E52" s="12">
        <f t="shared" si="0"/>
        <v>1.4148686444215333</v>
      </c>
      <c r="F52" s="10">
        <f t="shared" si="1"/>
        <v>1.4096031269674525</v>
      </c>
      <c r="G52" s="12"/>
    </row>
    <row r="53" spans="1:7" x14ac:dyDescent="0.35">
      <c r="A53" s="4">
        <v>43313</v>
      </c>
      <c r="B53" s="25" t="str">
        <f>'Risk Score'!F53</f>
        <v>Green</v>
      </c>
      <c r="C53" s="14">
        <f>(Assets!C54*0.35)+(Assets!E54*0.15)+(Assets!G54*0.1)+(Assets!J54*0.05)+(Assets!L54*0.2)+(Assets!N54*0.05)</f>
        <v>2.7460000000000002E-2</v>
      </c>
      <c r="D53" s="14">
        <f>IF(B53="Green",
(Assets!C54*0.35)+(Assets!E54*0.15)+(Assets!G54*0.1)+(Assets!J54*0.15)+(Assets!L54*0.2)+(Assets!N54*0.05),
IF(B53="Amber",
(Assets!C54*0.3)+(Assets!E54*0.12)+(Assets!G54*0.09)+(Assets!J54*0.17)+(Assets!L54*0.25)+(Assets!N54*0.07),
(Assets!C54*0.15)+(Assets!E54*0.03)+(Assets!G54*0.07)+(Assets!J54*0.33)+(Assets!L54*0.35)+(Assets!N54*0.07)))</f>
        <v>2.9510000000000002E-2</v>
      </c>
      <c r="E53" s="12">
        <f t="shared" si="0"/>
        <v>1.4537209373973485</v>
      </c>
      <c r="F53" s="10">
        <f t="shared" si="1"/>
        <v>1.451200515244262</v>
      </c>
      <c r="G53" s="12"/>
    </row>
    <row r="54" spans="1:7" x14ac:dyDescent="0.35">
      <c r="A54" s="4">
        <v>43344</v>
      </c>
      <c r="B54" s="25" t="str">
        <f>'Risk Score'!F54</f>
        <v>Green</v>
      </c>
      <c r="C54" s="14">
        <f>(Assets!C55*0.35)+(Assets!E55*0.15)+(Assets!G55*0.1)+(Assets!J55*0.05)+(Assets!L55*0.2)+(Assets!N55*0.05)</f>
        <v>-3.5159999999999997E-2</v>
      </c>
      <c r="D54" s="14">
        <f>IF(B54="Green",
(Assets!C55*0.35)+(Assets!E55*0.15)+(Assets!G55*0.1)+(Assets!J55*0.15)+(Assets!L55*0.2)+(Assets!N55*0.05),
IF(B54="Amber",
(Assets!C55*0.3)+(Assets!E55*0.12)+(Assets!G55*0.09)+(Assets!J55*0.17)+(Assets!L55*0.25)+(Assets!N55*0.07),
(Assets!C55*0.15)+(Assets!E55*0.03)+(Assets!G55*0.07)+(Assets!J55*0.33)+(Assets!L55*0.35)+(Assets!N55*0.07)))</f>
        <v>-3.5229999999999997E-2</v>
      </c>
      <c r="E54" s="12">
        <f t="shared" si="0"/>
        <v>1.4026081092384579</v>
      </c>
      <c r="F54" s="10">
        <f t="shared" si="1"/>
        <v>1.4000747210922067</v>
      </c>
      <c r="G54" s="12"/>
    </row>
    <row r="55" spans="1:7" x14ac:dyDescent="0.35">
      <c r="A55" s="4">
        <v>43374</v>
      </c>
      <c r="B55" s="25" t="str">
        <f>'Risk Score'!F55</f>
        <v>Green</v>
      </c>
      <c r="C55" s="14">
        <f>(Assets!C56*0.35)+(Assets!E56*0.15)+(Assets!G56*0.1)+(Assets!J56*0.05)+(Assets!L56*0.2)+(Assets!N56*0.05)</f>
        <v>-2.3679999999999996E-2</v>
      </c>
      <c r="D55" s="14">
        <f>IF(B55="Green",
(Assets!C56*0.35)+(Assets!E56*0.15)+(Assets!G56*0.1)+(Assets!J56*0.15)+(Assets!L56*0.2)+(Assets!N56*0.05),
IF(B55="Amber",
(Assets!C56*0.3)+(Assets!E56*0.12)+(Assets!G56*0.09)+(Assets!J56*0.17)+(Assets!L56*0.25)+(Assets!N56*0.07),
(Assets!C56*0.15)+(Assets!E56*0.03)+(Assets!G56*0.07)+(Assets!J56*0.33)+(Assets!L56*0.35)+(Assets!N56*0.07)))</f>
        <v>-1.8709999999999997E-2</v>
      </c>
      <c r="E55" s="12">
        <f t="shared" si="0"/>
        <v>1.3693943492116911</v>
      </c>
      <c r="F55" s="10">
        <f t="shared" si="1"/>
        <v>1.3738793230605715</v>
      </c>
      <c r="G55" s="12"/>
    </row>
    <row r="56" spans="1:7" x14ac:dyDescent="0.35">
      <c r="A56" s="4">
        <v>43405</v>
      </c>
      <c r="B56" s="25" t="str">
        <f>'Risk Score'!F56</f>
        <v>Green</v>
      </c>
      <c r="C56" s="14">
        <f>(Assets!C57*0.35)+(Assets!E57*0.15)+(Assets!G57*0.1)+(Assets!J57*0.05)+(Assets!L57*0.2)+(Assets!N57*0.05)</f>
        <v>1.3084999999999996E-2</v>
      </c>
      <c r="D56" s="14">
        <f>IF(B56="Green",
(Assets!C57*0.35)+(Assets!E57*0.15)+(Assets!G57*0.1)+(Assets!J57*0.15)+(Assets!L57*0.2)+(Assets!N57*0.05),
IF(B56="Amber",
(Assets!C57*0.3)+(Assets!E57*0.12)+(Assets!G57*0.09)+(Assets!J57*0.17)+(Assets!L57*0.25)+(Assets!N57*0.07),
(Assets!C57*0.15)+(Assets!E57*0.03)+(Assets!G57*0.07)+(Assets!J57*0.33)+(Assets!L57*0.35)+(Assets!N57*0.07)))</f>
        <v>8.204999999999997E-3</v>
      </c>
      <c r="E56" s="12">
        <f t="shared" si="0"/>
        <v>1.387312874271126</v>
      </c>
      <c r="F56" s="10">
        <f t="shared" si="1"/>
        <v>1.3851520029062836</v>
      </c>
      <c r="G56" s="12"/>
    </row>
    <row r="57" spans="1:7" x14ac:dyDescent="0.35">
      <c r="A57" s="4">
        <v>43435</v>
      </c>
      <c r="B57" s="25" t="str">
        <f>'Risk Score'!F57</f>
        <v>Green</v>
      </c>
      <c r="C57" s="14">
        <f>(Assets!C58*0.35)+(Assets!E58*0.15)+(Assets!G58*0.1)+(Assets!J58*0.05)+(Assets!L58*0.2)+(Assets!N58*0.05)</f>
        <v>-4.5150000000000008E-3</v>
      </c>
      <c r="D57" s="14">
        <f>IF(B57="Green",
(Assets!C58*0.35)+(Assets!E58*0.15)+(Assets!G58*0.1)+(Assets!J58*0.15)+(Assets!L58*0.2)+(Assets!N58*0.05),
IF(B57="Amber",
(Assets!C58*0.3)+(Assets!E58*0.12)+(Assets!G58*0.09)+(Assets!J58*0.17)+(Assets!L58*0.25)+(Assets!N58*0.07),
(Assets!C58*0.15)+(Assets!E58*0.03)+(Assets!G58*0.07)+(Assets!J58*0.33)+(Assets!L58*0.35)+(Assets!N58*0.07)))</f>
        <v>-6.7499999999999993E-4</v>
      </c>
      <c r="E57" s="12">
        <f t="shared" si="0"/>
        <v>1.3810491566437919</v>
      </c>
      <c r="F57" s="10">
        <f t="shared" si="1"/>
        <v>1.3842170253043218</v>
      </c>
      <c r="G57" s="12"/>
    </row>
    <row r="58" spans="1:7" x14ac:dyDescent="0.35">
      <c r="A58" s="4">
        <v>43466</v>
      </c>
      <c r="B58" s="25" t="str">
        <f>'Risk Score'!F58</f>
        <v>Green</v>
      </c>
      <c r="C58" s="14">
        <f>(Assets!C59*0.35)+(Assets!E59*0.15)+(Assets!G59*0.1)+(Assets!J59*0.05)+(Assets!L59*0.2)+(Assets!N59*0.05)</f>
        <v>1.3495E-2</v>
      </c>
      <c r="D58" s="14">
        <f>IF(B58="Green",
(Assets!C59*0.35)+(Assets!E59*0.15)+(Assets!G59*0.1)+(Assets!J59*0.15)+(Assets!L59*0.2)+(Assets!N59*0.05),
IF(B58="Amber",
(Assets!C59*0.3)+(Assets!E59*0.12)+(Assets!G59*0.09)+(Assets!J59*0.17)+(Assets!L59*0.25)+(Assets!N59*0.07),
(Assets!C59*0.15)+(Assets!E59*0.03)+(Assets!G59*0.07)+(Assets!J59*0.33)+(Assets!L59*0.35)+(Assets!N59*0.07)))</f>
        <v>1.8235000000000001E-2</v>
      </c>
      <c r="E58" s="12">
        <f t="shared" si="0"/>
        <v>1.3996864150127</v>
      </c>
      <c r="F58" s="10">
        <f t="shared" si="1"/>
        <v>1.4094582227607462</v>
      </c>
      <c r="G58" s="12"/>
    </row>
    <row r="59" spans="1:7" x14ac:dyDescent="0.35">
      <c r="A59" s="4">
        <v>43497</v>
      </c>
      <c r="B59" s="25" t="str">
        <f>'Risk Score'!F59</f>
        <v>Green</v>
      </c>
      <c r="C59" s="14">
        <f>(Assets!C60*0.35)+(Assets!E60*0.15)+(Assets!G60*0.1)+(Assets!J60*0.05)+(Assets!L60*0.2)+(Assets!N60*0.05)</f>
        <v>5.200000000000005E-4</v>
      </c>
      <c r="D59" s="14">
        <f>IF(B59="Green",
(Assets!C60*0.35)+(Assets!E60*0.15)+(Assets!G60*0.1)+(Assets!J60*0.15)+(Assets!L60*0.2)+(Assets!N60*0.05),
IF(B59="Amber",
(Assets!C60*0.3)+(Assets!E60*0.12)+(Assets!G60*0.09)+(Assets!J60*0.17)+(Assets!L60*0.25)+(Assets!N60*0.07),
(Assets!C60*0.15)+(Assets!E60*0.03)+(Assets!G60*0.07)+(Assets!J60*0.33)+(Assets!L60*0.35)+(Assets!N60*0.07)))</f>
        <v>1.0400000000000006E-3</v>
      </c>
      <c r="E59" s="12">
        <f t="shared" si="0"/>
        <v>1.4004142519485068</v>
      </c>
      <c r="F59" s="10">
        <f t="shared" si="1"/>
        <v>1.4109240593124173</v>
      </c>
      <c r="G59" s="12"/>
    </row>
    <row r="60" spans="1:7" x14ac:dyDescent="0.35">
      <c r="A60" s="4">
        <v>43525</v>
      </c>
      <c r="B60" s="25" t="str">
        <f>'Risk Score'!F60</f>
        <v>Green</v>
      </c>
      <c r="C60" s="14">
        <f>(Assets!C61*0.35)+(Assets!E61*0.15)+(Assets!G61*0.1)+(Assets!J61*0.05)+(Assets!L61*0.2)+(Assets!N61*0.05)</f>
        <v>3.6624999999999998E-2</v>
      </c>
      <c r="D60" s="14">
        <f>IF(B60="Green",
(Assets!C61*0.35)+(Assets!E61*0.15)+(Assets!G61*0.1)+(Assets!J61*0.15)+(Assets!L61*0.2)+(Assets!N61*0.05),
IF(B60="Amber",
(Assets!C61*0.3)+(Assets!E61*0.12)+(Assets!G61*0.09)+(Assets!J61*0.17)+(Assets!L61*0.25)+(Assets!N61*0.07),
(Assets!C61*0.15)+(Assets!E61*0.03)+(Assets!G61*0.07)+(Assets!J61*0.33)+(Assets!L61*0.35)+(Assets!N61*0.07)))</f>
        <v>3.1805E-2</v>
      </c>
      <c r="E60" s="12">
        <f t="shared" si="0"/>
        <v>1.4517044239261208</v>
      </c>
      <c r="F60" s="10">
        <f t="shared" si="1"/>
        <v>1.4557984990188488</v>
      </c>
      <c r="G60" s="12"/>
    </row>
    <row r="61" spans="1:7" x14ac:dyDescent="0.35">
      <c r="A61" s="4">
        <v>43556</v>
      </c>
      <c r="B61" s="25" t="str">
        <f>'Risk Score'!F61</f>
        <v>Green</v>
      </c>
      <c r="C61" s="14">
        <f>(Assets!C62*0.35)+(Assets!E62*0.15)+(Assets!G62*0.1)+(Assets!J62*0.05)+(Assets!L62*0.2)+(Assets!N62*0.05)</f>
        <v>9.6850000000000009E-3</v>
      </c>
      <c r="D61" s="14">
        <f>IF(B61="Green",
(Assets!C62*0.35)+(Assets!E62*0.15)+(Assets!G62*0.1)+(Assets!J62*0.15)+(Assets!L62*0.2)+(Assets!N62*0.05),
IF(B61="Amber",
(Assets!C62*0.3)+(Assets!E62*0.12)+(Assets!G62*0.09)+(Assets!J62*0.17)+(Assets!L62*0.25)+(Assets!N62*0.07),
(Assets!C62*0.15)+(Assets!E62*0.03)+(Assets!G62*0.07)+(Assets!J62*0.33)+(Assets!L62*0.35)+(Assets!N62*0.07)))</f>
        <v>9.9450000000000007E-3</v>
      </c>
      <c r="E61" s="12">
        <f t="shared" si="0"/>
        <v>1.4657641812718452</v>
      </c>
      <c r="F61" s="10">
        <f t="shared" si="1"/>
        <v>1.4702764150915915</v>
      </c>
      <c r="G61" s="12"/>
    </row>
    <row r="62" spans="1:7" x14ac:dyDescent="0.35">
      <c r="A62" s="4">
        <v>43586</v>
      </c>
      <c r="B62" s="25" t="str">
        <f>'Risk Score'!F62</f>
        <v>Green</v>
      </c>
      <c r="C62" s="14">
        <f>(Assets!C63*0.35)+(Assets!E63*0.15)+(Assets!G63*0.1)+(Assets!J63*0.05)+(Assets!L63*0.2)+(Assets!N63*0.05)</f>
        <v>1.3500000000000306E-4</v>
      </c>
      <c r="D62" s="14">
        <f>IF(B62="Green",
(Assets!C63*0.35)+(Assets!E63*0.15)+(Assets!G63*0.1)+(Assets!J63*0.15)+(Assets!L63*0.2)+(Assets!N63*0.05),
IF(B62="Amber",
(Assets!C63*0.3)+(Assets!E63*0.12)+(Assets!G63*0.09)+(Assets!J63*0.17)+(Assets!L63*0.25)+(Assets!N63*0.07),
(Assets!C63*0.15)+(Assets!E63*0.03)+(Assets!G63*0.07)+(Assets!J63*0.33)+(Assets!L63*0.35)+(Assets!N63*0.07)))</f>
        <v>9.5500000000000261E-4</v>
      </c>
      <c r="E62" s="12">
        <f t="shared" si="0"/>
        <v>1.4659620594363167</v>
      </c>
      <c r="F62" s="10">
        <f t="shared" si="1"/>
        <v>1.471680529068004</v>
      </c>
      <c r="G62" s="12"/>
    </row>
    <row r="63" spans="1:7" x14ac:dyDescent="0.35">
      <c r="A63" s="4">
        <v>43617</v>
      </c>
      <c r="B63" s="25" t="str">
        <f>'Risk Score'!F63</f>
        <v>Green</v>
      </c>
      <c r="C63" s="14">
        <f>(Assets!C64*0.35)+(Assets!E64*0.15)+(Assets!G64*0.1)+(Assets!J64*0.05)+(Assets!L64*0.2)+(Assets!N64*0.05)</f>
        <v>-8.6E-3</v>
      </c>
      <c r="D63" s="14">
        <f>IF(B63="Green",
(Assets!C64*0.35)+(Assets!E64*0.15)+(Assets!G64*0.1)+(Assets!J64*0.15)+(Assets!L64*0.2)+(Assets!N64*0.05),
IF(B63="Amber",
(Assets!C64*0.3)+(Assets!E64*0.12)+(Assets!G64*0.09)+(Assets!J64*0.17)+(Assets!L64*0.25)+(Assets!N64*0.07),
(Assets!C64*0.15)+(Assets!E64*0.03)+(Assets!G64*0.07)+(Assets!J64*0.33)+(Assets!L64*0.35)+(Assets!N64*0.07)))</f>
        <v>-2.97E-3</v>
      </c>
      <c r="E63" s="12">
        <f t="shared" si="0"/>
        <v>1.4533547857251643</v>
      </c>
      <c r="F63" s="10">
        <f t="shared" si="1"/>
        <v>1.4673096378966719</v>
      </c>
      <c r="G63" s="12"/>
    </row>
    <row r="64" spans="1:7" x14ac:dyDescent="0.35">
      <c r="A64" s="4">
        <v>43647</v>
      </c>
      <c r="B64" s="25" t="str">
        <f>'Risk Score'!F64</f>
        <v>Green</v>
      </c>
      <c r="C64" s="14">
        <f>(Assets!C65*0.35)+(Assets!E65*0.15)+(Assets!G65*0.1)+(Assets!J65*0.05)+(Assets!L65*0.2)+(Assets!N65*0.05)</f>
        <v>-4.6399999999999997E-2</v>
      </c>
      <c r="D64" s="14">
        <f>IF(B64="Green",
(Assets!C65*0.35)+(Assets!E65*0.15)+(Assets!G65*0.1)+(Assets!J65*0.15)+(Assets!L65*0.2)+(Assets!N65*0.05),
IF(B64="Amber",
(Assets!C65*0.3)+(Assets!E65*0.12)+(Assets!G65*0.09)+(Assets!J65*0.17)+(Assets!L65*0.25)+(Assets!N65*0.07),
(Assets!C65*0.15)+(Assets!E65*0.03)+(Assets!G65*0.07)+(Assets!J65*0.33)+(Assets!L65*0.35)+(Assets!N65*0.07)))</f>
        <v>-4.4139999999999992E-2</v>
      </c>
      <c r="E64" s="12">
        <f t="shared" si="0"/>
        <v>1.3859191236675166</v>
      </c>
      <c r="F64" s="10">
        <f t="shared" si="1"/>
        <v>1.4025425904799129</v>
      </c>
      <c r="G64" s="12"/>
    </row>
    <row r="65" spans="1:7" x14ac:dyDescent="0.35">
      <c r="A65" s="4">
        <v>43678</v>
      </c>
      <c r="B65" s="25" t="str">
        <f>'Risk Score'!F65</f>
        <v>Green</v>
      </c>
      <c r="C65" s="14">
        <f>(Assets!C66*0.35)+(Assets!E66*0.15)+(Assets!G66*0.1)+(Assets!J66*0.05)+(Assets!L66*0.2)+(Assets!N66*0.05)</f>
        <v>4.8800000000000007E-3</v>
      </c>
      <c r="D65" s="14">
        <f>IF(B65="Green",
(Assets!C66*0.35)+(Assets!E66*0.15)+(Assets!G66*0.1)+(Assets!J66*0.15)+(Assets!L66*0.2)+(Assets!N66*0.05),
IF(B65="Amber",
(Assets!C66*0.3)+(Assets!E66*0.12)+(Assets!G66*0.09)+(Assets!J66*0.17)+(Assets!L66*0.25)+(Assets!N66*0.07),
(Assets!C66*0.15)+(Assets!E66*0.03)+(Assets!G66*0.07)+(Assets!J66*0.33)+(Assets!L66*0.35)+(Assets!N66*0.07)))</f>
        <v>1.5129999999999998E-2</v>
      </c>
      <c r="E65" s="12">
        <f t="shared" si="0"/>
        <v>1.3926824089910141</v>
      </c>
      <c r="F65" s="10">
        <f t="shared" si="1"/>
        <v>1.4237630598738742</v>
      </c>
      <c r="G65" s="12"/>
    </row>
    <row r="66" spans="1:7" x14ac:dyDescent="0.35">
      <c r="A66" s="4">
        <v>43709</v>
      </c>
      <c r="B66" s="25" t="str">
        <f>'Risk Score'!F66</f>
        <v>Green</v>
      </c>
      <c r="C66" s="14">
        <f>(Assets!C67*0.35)+(Assets!E67*0.15)+(Assets!G67*0.1)+(Assets!J67*0.05)+(Assets!L67*0.2)+(Assets!N67*0.05)</f>
        <v>2.2984999999999995E-2</v>
      </c>
      <c r="D66" s="14">
        <f>IF(B66="Green",
(Assets!C67*0.35)+(Assets!E67*0.15)+(Assets!G67*0.1)+(Assets!J67*0.15)+(Assets!L67*0.2)+(Assets!N67*0.05),
IF(B66="Amber",
(Assets!C67*0.3)+(Assets!E67*0.12)+(Assets!G67*0.09)+(Assets!J67*0.17)+(Assets!L67*0.25)+(Assets!N67*0.07),
(Assets!C67*0.15)+(Assets!E67*0.03)+(Assets!G67*0.07)+(Assets!J67*0.33)+(Assets!L67*0.35)+(Assets!N67*0.07)))</f>
        <v>2.0534999999999994E-2</v>
      </c>
      <c r="E66" s="12">
        <f t="shared" si="0"/>
        <v>1.4246932141616726</v>
      </c>
      <c r="F66" s="10">
        <f t="shared" si="1"/>
        <v>1.4530000343083842</v>
      </c>
      <c r="G66" s="12"/>
    </row>
    <row r="67" spans="1:7" x14ac:dyDescent="0.35">
      <c r="A67" s="4">
        <v>43739</v>
      </c>
      <c r="B67" s="25" t="str">
        <f>'Risk Score'!F67</f>
        <v>Green</v>
      </c>
      <c r="C67" s="14">
        <f>(Assets!C68*0.35)+(Assets!E68*0.15)+(Assets!G68*0.1)+(Assets!J68*0.05)+(Assets!L68*0.2)+(Assets!N68*0.05)</f>
        <v>1.7704999999999999E-2</v>
      </c>
      <c r="D67" s="14">
        <f>IF(B67="Green",
(Assets!C68*0.35)+(Assets!E68*0.15)+(Assets!G68*0.1)+(Assets!J68*0.15)+(Assets!L68*0.2)+(Assets!N68*0.05),
IF(B67="Amber",
(Assets!C68*0.3)+(Assets!E68*0.12)+(Assets!G68*0.09)+(Assets!J68*0.17)+(Assets!L68*0.25)+(Assets!N68*0.07),
(Assets!C68*0.15)+(Assets!E68*0.03)+(Assets!G68*0.07)+(Assets!J68*0.33)+(Assets!L68*0.35)+(Assets!N68*0.07)))</f>
        <v>2.1014999999999999E-2</v>
      </c>
      <c r="E67" s="12">
        <f t="shared" si="0"/>
        <v>1.4499174075184051</v>
      </c>
      <c r="F67" s="10">
        <f t="shared" si="1"/>
        <v>1.4835348300293749</v>
      </c>
      <c r="G67" s="12"/>
    </row>
    <row r="68" spans="1:7" x14ac:dyDescent="0.35">
      <c r="A68" s="4">
        <v>43770</v>
      </c>
      <c r="B68" s="25" t="str">
        <f>'Risk Score'!F68</f>
        <v>Green</v>
      </c>
      <c r="C68" s="14">
        <f>(Assets!C69*0.35)+(Assets!E69*0.15)+(Assets!G69*0.1)+(Assets!J69*0.05)+(Assets!L69*0.2)+(Assets!N69*0.05)</f>
        <v>5.0999999999999986E-3</v>
      </c>
      <c r="D68" s="14">
        <f>IF(B68="Green",
(Assets!C69*0.35)+(Assets!E69*0.15)+(Assets!G69*0.1)+(Assets!J69*0.15)+(Assets!L69*0.2)+(Assets!N69*0.05),
IF(B68="Amber",
(Assets!C69*0.3)+(Assets!E69*0.12)+(Assets!G69*0.09)+(Assets!J69*0.17)+(Assets!L69*0.25)+(Assets!N69*0.07),
(Assets!C69*0.15)+(Assets!E69*0.03)+(Assets!G69*0.07)+(Assets!J69*0.33)+(Assets!L69*0.35)+(Assets!N69*0.07)))</f>
        <v>3.1899999999999988E-3</v>
      </c>
      <c r="E68" s="12">
        <f t="shared" ref="E68:E120" si="2">E67*(1+C68)</f>
        <v>1.4573119862967492</v>
      </c>
      <c r="F68" s="10">
        <f t="shared" ref="F68:F120" si="3">F67*(1+D68)</f>
        <v>1.4882673061371687</v>
      </c>
      <c r="G68" s="12"/>
    </row>
    <row r="69" spans="1:7" x14ac:dyDescent="0.35">
      <c r="A69" s="4">
        <v>43800</v>
      </c>
      <c r="B69" s="25" t="str">
        <f>'Risk Score'!F69</f>
        <v>Green</v>
      </c>
      <c r="C69" s="14">
        <f>(Assets!C70*0.35)+(Assets!E70*0.15)+(Assets!G70*0.1)+(Assets!J70*0.05)+(Assets!L70*0.2)+(Assets!N70*0.05)</f>
        <v>1.2815E-2</v>
      </c>
      <c r="D69" s="14">
        <f>IF(B69="Green",
(Assets!C70*0.35)+(Assets!E70*0.15)+(Assets!G70*0.1)+(Assets!J70*0.15)+(Assets!L70*0.2)+(Assets!N70*0.05),
IF(B69="Amber",
(Assets!C70*0.3)+(Assets!E70*0.12)+(Assets!G70*0.09)+(Assets!J70*0.17)+(Assets!L70*0.25)+(Assets!N70*0.07),
(Assets!C70*0.15)+(Assets!E70*0.03)+(Assets!G70*0.07)+(Assets!J70*0.33)+(Assets!L70*0.35)+(Assets!N70*0.07)))</f>
        <v>1.5914999999999999E-2</v>
      </c>
      <c r="E69" s="12">
        <f t="shared" si="2"/>
        <v>1.4759874394011421</v>
      </c>
      <c r="F69" s="10">
        <f t="shared" si="3"/>
        <v>1.5119530803143417</v>
      </c>
      <c r="G69" s="12"/>
    </row>
    <row r="70" spans="1:7" x14ac:dyDescent="0.35">
      <c r="A70" s="4">
        <v>43831</v>
      </c>
      <c r="B70" s="25" t="str">
        <f>'Risk Score'!F70</f>
        <v>Green</v>
      </c>
      <c r="C70" s="14">
        <f>(Assets!C71*0.35)+(Assets!E71*0.15)+(Assets!G71*0.1)+(Assets!J71*0.05)+(Assets!L71*0.2)+(Assets!N71*0.05)</f>
        <v>-5.4299999999999991E-3</v>
      </c>
      <c r="D70" s="14">
        <f>IF(B70="Green",
(Assets!C71*0.35)+(Assets!E71*0.15)+(Assets!G71*0.1)+(Assets!J71*0.15)+(Assets!L71*0.2)+(Assets!N71*0.05),
IF(B70="Amber",
(Assets!C71*0.3)+(Assets!E71*0.12)+(Assets!G71*0.09)+(Assets!J71*0.17)+(Assets!L71*0.25)+(Assets!N71*0.07),
(Assets!C71*0.15)+(Assets!E71*0.03)+(Assets!G71*0.07)+(Assets!J71*0.33)+(Assets!L71*0.35)+(Assets!N71*0.07)))</f>
        <v>-1.3099999999999993E-3</v>
      </c>
      <c r="E70" s="12">
        <f t="shared" si="2"/>
        <v>1.4679728276051938</v>
      </c>
      <c r="F70" s="10">
        <f t="shared" si="3"/>
        <v>1.5099724217791299</v>
      </c>
      <c r="G70" s="12"/>
    </row>
    <row r="71" spans="1:7" x14ac:dyDescent="0.35">
      <c r="A71" s="4">
        <v>43862</v>
      </c>
      <c r="B71" s="25" t="str">
        <f>'Risk Score'!F71</f>
        <v>Green</v>
      </c>
      <c r="C71" s="14">
        <f>(Assets!C72*0.35)+(Assets!E72*0.15)+(Assets!G72*0.1)+(Assets!J72*0.05)+(Assets!L72*0.2)+(Assets!N72*0.05)</f>
        <v>-4.0370000000000003E-2</v>
      </c>
      <c r="D71" s="14">
        <f>IF(B71="Green",
(Assets!C72*0.35)+(Assets!E72*0.15)+(Assets!G72*0.1)+(Assets!J72*0.15)+(Assets!L72*0.2)+(Assets!N72*0.05),
IF(B71="Amber",
(Assets!C72*0.3)+(Assets!E72*0.12)+(Assets!G72*0.09)+(Assets!J72*0.17)+(Assets!L72*0.25)+(Assets!N72*0.07),
(Assets!C72*0.15)+(Assets!E72*0.03)+(Assets!G72*0.07)+(Assets!J72*0.33)+(Assets!L72*0.35)+(Assets!N72*0.07)))</f>
        <v>-3.6190000000000007E-2</v>
      </c>
      <c r="E71" s="12">
        <f t="shared" si="2"/>
        <v>1.4087107645547721</v>
      </c>
      <c r="F71" s="10">
        <f t="shared" si="3"/>
        <v>1.4553265198349432</v>
      </c>
      <c r="G71" s="12"/>
    </row>
    <row r="72" spans="1:7" x14ac:dyDescent="0.35">
      <c r="A72" s="4">
        <v>43891</v>
      </c>
      <c r="B72" s="25" t="str">
        <f>'Risk Score'!F72</f>
        <v>Amber</v>
      </c>
      <c r="C72" s="14">
        <f>(Assets!C73*0.35)+(Assets!E73*0.15)+(Assets!G73*0.1)+(Assets!J73*0.05)+(Assets!L73*0.2)+(Assets!N73*0.05)</f>
        <v>-0.15322000000000002</v>
      </c>
      <c r="D72" s="14">
        <f>IF(B72="Green",
(Assets!C73*0.35)+(Assets!E73*0.15)+(Assets!G73*0.1)+(Assets!J73*0.15)+(Assets!L73*0.2)+(Assets!N73*0.05),
IF(B72="Amber",
(Assets!C73*0.3)+(Assets!E73*0.12)+(Assets!G73*0.09)+(Assets!J73*0.17)+(Assets!L73*0.25)+(Assets!N73*0.07),
(Assets!C73*0.15)+(Assets!E73*0.03)+(Assets!G73*0.07)+(Assets!J73*0.33)+(Assets!L73*0.35)+(Assets!N73*0.07)))</f>
        <v>-0.12804699999999999</v>
      </c>
      <c r="E72" s="12">
        <f t="shared" si="2"/>
        <v>1.1928681012096898</v>
      </c>
      <c r="F72" s="10">
        <f t="shared" si="3"/>
        <v>1.2689763249496382</v>
      </c>
      <c r="G72" s="12"/>
    </row>
    <row r="73" spans="1:7" x14ac:dyDescent="0.35">
      <c r="A73" s="4">
        <v>43922</v>
      </c>
      <c r="B73" s="25" t="str">
        <f>'Risk Score'!F73</f>
        <v>Red</v>
      </c>
      <c r="C73" s="14">
        <f>(Assets!C74*0.35)+(Assets!E74*0.15)+(Assets!G74*0.1)+(Assets!J74*0.05)+(Assets!L74*0.2)+(Assets!N74*0.05)</f>
        <v>8.5269999999999999E-2</v>
      </c>
      <c r="D73" s="14">
        <f>IF(B73="Green",
(Assets!C74*0.35)+(Assets!E74*0.15)+(Assets!G74*0.1)+(Assets!J74*0.15)+(Assets!L74*0.2)+(Assets!N74*0.05),
IF(B73="Amber",
(Assets!C74*0.3)+(Assets!E74*0.12)+(Assets!G74*0.09)+(Assets!J74*0.17)+(Assets!L74*0.25)+(Assets!N74*0.07),
(Assets!C74*0.15)+(Assets!E74*0.03)+(Assets!G74*0.07)+(Assets!J74*0.33)+(Assets!L74*0.35)+(Assets!N74*0.07)))</f>
        <v>6.8949999999999997E-2</v>
      </c>
      <c r="E73" s="12">
        <f t="shared" si="2"/>
        <v>1.29458396419984</v>
      </c>
      <c r="F73" s="10">
        <f t="shared" si="3"/>
        <v>1.3564722425549158</v>
      </c>
      <c r="G73" s="12"/>
    </row>
    <row r="74" spans="1:7" x14ac:dyDescent="0.35">
      <c r="A74" s="4">
        <v>43952</v>
      </c>
      <c r="B74" s="25" t="str">
        <f>'Risk Score'!F74</f>
        <v>Red</v>
      </c>
      <c r="C74" s="14">
        <f>(Assets!C75*0.35)+(Assets!E75*0.15)+(Assets!G75*0.1)+(Assets!J75*0.05)+(Assets!L75*0.2)+(Assets!N75*0.05)</f>
        <v>-3.091E-2</v>
      </c>
      <c r="D74" s="14">
        <f>IF(B74="Green",
(Assets!C75*0.35)+(Assets!E75*0.15)+(Assets!G75*0.1)+(Assets!J75*0.15)+(Assets!L75*0.2)+(Assets!N75*0.05),
IF(B74="Amber",
(Assets!C75*0.3)+(Assets!E75*0.12)+(Assets!G75*0.09)+(Assets!J75*0.17)+(Assets!L75*0.25)+(Assets!N75*0.07),
(Assets!C75*0.15)+(Assets!E75*0.03)+(Assets!G75*0.07)+(Assets!J75*0.33)+(Assets!L75*0.35)+(Assets!N75*0.07)))</f>
        <v>-2.5192000000000003E-2</v>
      </c>
      <c r="E74" s="12">
        <f t="shared" si="2"/>
        <v>1.2545683738664231</v>
      </c>
      <c r="F74" s="10">
        <f t="shared" si="3"/>
        <v>1.3222999938204725</v>
      </c>
      <c r="G74" s="12"/>
    </row>
    <row r="75" spans="1:7" x14ac:dyDescent="0.35">
      <c r="A75" s="4">
        <v>43983</v>
      </c>
      <c r="B75" s="25" t="str">
        <f>'Risk Score'!F75</f>
        <v>Red</v>
      </c>
      <c r="C75" s="14">
        <f>(Assets!C76*0.35)+(Assets!E76*0.15)+(Assets!G76*0.1)+(Assets!J76*0.05)+(Assets!L76*0.2)+(Assets!N76*0.05)</f>
        <v>4.5555000000000005E-2</v>
      </c>
      <c r="D75" s="14">
        <f>IF(B75="Green",
(Assets!C76*0.35)+(Assets!E76*0.15)+(Assets!G76*0.1)+(Assets!J76*0.15)+(Assets!L76*0.2)+(Assets!N76*0.05),
IF(B75="Amber",
(Assets!C76*0.3)+(Assets!E76*0.12)+(Assets!G76*0.09)+(Assets!J76*0.17)+(Assets!L76*0.25)+(Assets!N76*0.07),
(Assets!C76*0.15)+(Assets!E76*0.03)+(Assets!G76*0.07)+(Assets!J76*0.33)+(Assets!L76*0.35)+(Assets!N76*0.07)))</f>
        <v>2.3940000000000006E-2</v>
      </c>
      <c r="E75" s="12">
        <f t="shared" si="2"/>
        <v>1.3117202361379079</v>
      </c>
      <c r="F75" s="10">
        <f t="shared" si="3"/>
        <v>1.3539558556725346</v>
      </c>
      <c r="G75" s="12"/>
    </row>
    <row r="76" spans="1:7" x14ac:dyDescent="0.35">
      <c r="A76" s="4">
        <v>44013</v>
      </c>
      <c r="B76" s="25" t="str">
        <f>'Risk Score'!F76</f>
        <v>Amber</v>
      </c>
      <c r="C76" s="14">
        <f>(Assets!C77*0.35)+(Assets!E77*0.15)+(Assets!G77*0.1)+(Assets!J77*0.05)+(Assets!L77*0.2)+(Assets!N77*0.05)</f>
        <v>5.3754999999999997E-2</v>
      </c>
      <c r="D76" s="14">
        <f>IF(B76="Green",
(Assets!C77*0.35)+(Assets!E77*0.15)+(Assets!G77*0.1)+(Assets!J77*0.15)+(Assets!L77*0.2)+(Assets!N77*0.05),
IF(B76="Amber",
(Assets!C77*0.3)+(Assets!E77*0.12)+(Assets!G77*0.09)+(Assets!J77*0.17)+(Assets!L77*0.25)+(Assets!N77*0.07),
(Assets!C77*0.15)+(Assets!E77*0.03)+(Assets!G77*0.07)+(Assets!J77*0.33)+(Assets!L77*0.35)+(Assets!N77*0.07)))</f>
        <v>5.9538000000000008E-2</v>
      </c>
      <c r="E76" s="12">
        <f t="shared" si="2"/>
        <v>1.3822317574315011</v>
      </c>
      <c r="F76" s="10">
        <f t="shared" si="3"/>
        <v>1.4345676794075661</v>
      </c>
      <c r="G76" s="12"/>
    </row>
    <row r="77" spans="1:7" x14ac:dyDescent="0.35">
      <c r="A77" s="4">
        <v>44044</v>
      </c>
      <c r="B77" s="25" t="str">
        <f>'Risk Score'!F77</f>
        <v>Red</v>
      </c>
      <c r="C77" s="14">
        <f>(Assets!C78*0.35)+(Assets!E78*0.15)+(Assets!G78*0.1)+(Assets!J78*0.05)+(Assets!L78*0.2)+(Assets!N78*0.05)</f>
        <v>2.9045000000000001E-2</v>
      </c>
      <c r="D77" s="14">
        <f>IF(B77="Green",
(Assets!C78*0.35)+(Assets!E78*0.15)+(Assets!G78*0.1)+(Assets!J78*0.15)+(Assets!L78*0.2)+(Assets!N78*0.05),
IF(B77="Amber",
(Assets!C78*0.3)+(Assets!E78*0.12)+(Assets!G78*0.09)+(Assets!J78*0.17)+(Assets!L78*0.25)+(Assets!N78*0.07),
(Assets!C78*0.15)+(Assets!E78*0.03)+(Assets!G78*0.07)+(Assets!J78*0.33)+(Assets!L78*0.35)+(Assets!N78*0.07)))</f>
        <v>6.9330000000000017E-3</v>
      </c>
      <c r="E77" s="12">
        <f t="shared" si="2"/>
        <v>1.422378678826099</v>
      </c>
      <c r="F77" s="10">
        <f t="shared" si="3"/>
        <v>1.4445135371288989</v>
      </c>
      <c r="G77" s="12"/>
    </row>
    <row r="78" spans="1:7" x14ac:dyDescent="0.35">
      <c r="A78" s="4">
        <v>44075</v>
      </c>
      <c r="B78" s="25" t="str">
        <f>'Risk Score'!F78</f>
        <v>Amber</v>
      </c>
      <c r="C78" s="14">
        <f>(Assets!C79*0.35)+(Assets!E79*0.15)+(Assets!G79*0.1)+(Assets!J79*0.05)+(Assets!L79*0.2)+(Assets!N79*0.05)</f>
        <v>-1.0709999999999999E-2</v>
      </c>
      <c r="D78" s="14">
        <f>IF(B78="Green",
(Assets!C79*0.35)+(Assets!E79*0.15)+(Assets!G79*0.1)+(Assets!J79*0.15)+(Assets!L79*0.2)+(Assets!N79*0.05),
IF(B78="Amber",
(Assets!C79*0.3)+(Assets!E79*0.12)+(Assets!G79*0.09)+(Assets!J79*0.17)+(Assets!L79*0.25)+(Assets!N79*0.07),
(Assets!C79*0.15)+(Assets!E79*0.03)+(Assets!G79*0.07)+(Assets!J79*0.33)+(Assets!L79*0.35)+(Assets!N79*0.07)))</f>
        <v>-1.1823999999999998E-2</v>
      </c>
      <c r="E78" s="12">
        <f t="shared" si="2"/>
        <v>1.4071450031758714</v>
      </c>
      <c r="F78" s="10">
        <f t="shared" si="3"/>
        <v>1.4274336090658868</v>
      </c>
      <c r="G78" s="12"/>
    </row>
    <row r="79" spans="1:7" x14ac:dyDescent="0.35">
      <c r="A79" s="4">
        <v>44105</v>
      </c>
      <c r="B79" s="25" t="str">
        <f>'Risk Score'!F79</f>
        <v>Amber</v>
      </c>
      <c r="C79" s="14">
        <f>(Assets!C80*0.35)+(Assets!E80*0.15)+(Assets!G80*0.1)+(Assets!J80*0.05)+(Assets!L80*0.2)+(Assets!N80*0.05)</f>
        <v>3.0629999999999994E-2</v>
      </c>
      <c r="D79" s="14">
        <f>IF(B79="Green",
(Assets!C80*0.35)+(Assets!E80*0.15)+(Assets!G80*0.1)+(Assets!J80*0.15)+(Assets!L80*0.2)+(Assets!N80*0.05),
IF(B79="Amber",
(Assets!C80*0.3)+(Assets!E80*0.12)+(Assets!G80*0.09)+(Assets!J80*0.17)+(Assets!L80*0.25)+(Assets!N80*0.07),
(Assets!C80*0.15)+(Assets!E80*0.03)+(Assets!G80*0.07)+(Assets!J80*0.33)+(Assets!L80*0.35)+(Assets!N80*0.07)))</f>
        <v>2.4503999999999998E-2</v>
      </c>
      <c r="E79" s="12">
        <f t="shared" si="2"/>
        <v>1.4502458546231483</v>
      </c>
      <c r="F79" s="10">
        <f t="shared" si="3"/>
        <v>1.4624114422224375</v>
      </c>
      <c r="G79" s="12"/>
    </row>
    <row r="80" spans="1:7" x14ac:dyDescent="0.35">
      <c r="A80" s="4">
        <v>44136</v>
      </c>
      <c r="B80" s="25" t="str">
        <f>'Risk Score'!F80</f>
        <v>Amber</v>
      </c>
      <c r="C80" s="14">
        <f>(Assets!C81*0.35)+(Assets!E81*0.15)+(Assets!G81*0.1)+(Assets!J81*0.05)+(Assets!L81*0.2)+(Assets!N81*0.05)</f>
        <v>7.8704999999999983E-2</v>
      </c>
      <c r="D80" s="14">
        <f>IF(B80="Green",
(Assets!C81*0.35)+(Assets!E81*0.15)+(Assets!G81*0.1)+(Assets!J81*0.15)+(Assets!L81*0.2)+(Assets!N81*0.05),
IF(B80="Amber",
(Assets!C81*0.3)+(Assets!E81*0.12)+(Assets!G81*0.09)+(Assets!J81*0.17)+(Assets!L81*0.25)+(Assets!N81*0.07),
(Assets!C81*0.15)+(Assets!E81*0.03)+(Assets!G81*0.07)+(Assets!J81*0.33)+(Assets!L81*0.35)+(Assets!N81*0.07)))</f>
        <v>6.1535999999999987E-2</v>
      </c>
      <c r="E80" s="12">
        <f t="shared" si="2"/>
        <v>1.5643874546112633</v>
      </c>
      <c r="F80" s="10">
        <f t="shared" si="3"/>
        <v>1.5524023927310375</v>
      </c>
      <c r="G80" s="12"/>
    </row>
    <row r="81" spans="1:7" x14ac:dyDescent="0.35">
      <c r="A81" s="4">
        <v>44166</v>
      </c>
      <c r="B81" s="25" t="str">
        <f>'Risk Score'!F81</f>
        <v>Green</v>
      </c>
      <c r="C81" s="14">
        <f>(Assets!C82*0.35)+(Assets!E82*0.15)+(Assets!G82*0.1)+(Assets!J82*0.05)+(Assets!L82*0.2)+(Assets!N82*0.05)</f>
        <v>4.6975000000000003E-2</v>
      </c>
      <c r="D81" s="14">
        <f>IF(B81="Green",
(Assets!C82*0.35)+(Assets!E82*0.15)+(Assets!G82*0.1)+(Assets!J82*0.15)+(Assets!L82*0.2)+(Assets!N82*0.05),
IF(B81="Amber",
(Assets!C82*0.3)+(Assets!E82*0.12)+(Assets!G82*0.09)+(Assets!J82*0.17)+(Assets!L82*0.25)+(Assets!N82*0.07),
(Assets!C82*0.15)+(Assets!E82*0.03)+(Assets!G82*0.07)+(Assets!J82*0.33)+(Assets!L82*0.35)+(Assets!N82*0.07)))</f>
        <v>4.9095000000000007E-2</v>
      </c>
      <c r="E81" s="12">
        <f t="shared" si="2"/>
        <v>1.6378745552916274</v>
      </c>
      <c r="F81" s="10">
        <f t="shared" si="3"/>
        <v>1.6286175882021681</v>
      </c>
      <c r="G81" s="12"/>
    </row>
    <row r="82" spans="1:7" x14ac:dyDescent="0.35">
      <c r="A82" s="4">
        <v>44197</v>
      </c>
      <c r="B82" s="25" t="str">
        <f>'Risk Score'!F82</f>
        <v>Green</v>
      </c>
      <c r="C82" s="14">
        <f>(Assets!C83*0.35)+(Assets!E83*0.15)+(Assets!G83*0.1)+(Assets!J83*0.05)+(Assets!L83*0.2)+(Assets!N83*0.05)</f>
        <v>-9.8999999999999973E-3</v>
      </c>
      <c r="D82" s="14">
        <f>IF(B82="Green",
(Assets!C83*0.35)+(Assets!E83*0.15)+(Assets!G83*0.1)+(Assets!J83*0.15)+(Assets!L83*0.2)+(Assets!N83*0.05),
IF(B82="Amber",
(Assets!C83*0.3)+(Assets!E83*0.12)+(Assets!G83*0.09)+(Assets!J83*0.17)+(Assets!L83*0.25)+(Assets!N83*0.07),
(Assets!C83*0.15)+(Assets!E83*0.03)+(Assets!G83*0.07)+(Assets!J83*0.33)+(Assets!L83*0.35)+(Assets!N83*0.07)))</f>
        <v>-1.2409999999999999E-2</v>
      </c>
      <c r="E82" s="12">
        <f t="shared" si="2"/>
        <v>1.6216595971942402</v>
      </c>
      <c r="F82" s="10">
        <f t="shared" si="3"/>
        <v>1.6084064439325791</v>
      </c>
      <c r="G82" s="12"/>
    </row>
    <row r="83" spans="1:7" x14ac:dyDescent="0.35">
      <c r="A83" s="4">
        <v>44228</v>
      </c>
      <c r="B83" s="25" t="str">
        <f>'Risk Score'!F83</f>
        <v>Amber</v>
      </c>
      <c r="C83" s="14">
        <f>(Assets!C84*0.35)+(Assets!E84*0.15)+(Assets!G84*0.1)+(Assets!J84*0.05)+(Assets!L84*0.2)+(Assets!N84*0.05)</f>
        <v>4.9685E-2</v>
      </c>
      <c r="D83" s="14">
        <f>IF(B83="Green",
(Assets!C84*0.35)+(Assets!E84*0.15)+(Assets!G84*0.1)+(Assets!J84*0.15)+(Assets!L84*0.2)+(Assets!N84*0.05),
IF(B83="Amber",
(Assets!C84*0.3)+(Assets!E84*0.12)+(Assets!G84*0.09)+(Assets!J84*0.17)+(Assets!L84*0.25)+(Assets!N84*0.07),
(Assets!C84*0.15)+(Assets!E84*0.03)+(Assets!G84*0.07)+(Assets!J84*0.33)+(Assets!L84*0.35)+(Assets!N84*0.07)))</f>
        <v>3.8268999999999997E-2</v>
      </c>
      <c r="E83" s="12">
        <f t="shared" si="2"/>
        <v>1.7022317542808361</v>
      </c>
      <c r="F83" s="10">
        <f t="shared" si="3"/>
        <v>1.6699585501354353</v>
      </c>
      <c r="G83" s="12"/>
    </row>
    <row r="84" spans="1:7" x14ac:dyDescent="0.35">
      <c r="A84" s="4">
        <v>44256</v>
      </c>
      <c r="B84" s="25" t="str">
        <f>'Risk Score'!F84</f>
        <v>Green</v>
      </c>
      <c r="C84" s="14">
        <f>(Assets!C85*0.35)+(Assets!E85*0.15)+(Assets!G85*0.1)+(Assets!J85*0.05)+(Assets!L85*0.2)+(Assets!N85*0.05)</f>
        <v>-9.6500000000000004E-4</v>
      </c>
      <c r="D84" s="14">
        <f>IF(B84="Green",
(Assets!C85*0.35)+(Assets!E85*0.15)+(Assets!G85*0.1)+(Assets!J85*0.15)+(Assets!L85*0.2)+(Assets!N85*0.05),
IF(B84="Amber",
(Assets!C85*0.3)+(Assets!E85*0.12)+(Assets!G85*0.09)+(Assets!J85*0.17)+(Assets!L85*0.25)+(Assets!N85*0.07),
(Assets!C85*0.15)+(Assets!E85*0.03)+(Assets!G85*0.07)+(Assets!J85*0.33)+(Assets!L85*0.35)+(Assets!N85*0.07)))</f>
        <v>-6.134999999999999E-3</v>
      </c>
      <c r="E84" s="12">
        <f t="shared" si="2"/>
        <v>1.700589100637955</v>
      </c>
      <c r="F84" s="10">
        <f t="shared" si="3"/>
        <v>1.6597133544303544</v>
      </c>
      <c r="G84" s="12"/>
    </row>
    <row r="85" spans="1:7" x14ac:dyDescent="0.35">
      <c r="A85" s="4">
        <v>44287</v>
      </c>
      <c r="B85" s="25" t="str">
        <f>'Risk Score'!F85</f>
        <v>Amber</v>
      </c>
      <c r="C85" s="14">
        <f>(Assets!C86*0.35)+(Assets!E86*0.15)+(Assets!G86*0.1)+(Assets!J86*0.05)+(Assets!L86*0.2)+(Assets!N86*0.05)</f>
        <v>-5.4949999999999999E-3</v>
      </c>
      <c r="D85" s="14">
        <f>IF(B85="Green",
(Assets!C86*0.35)+(Assets!E86*0.15)+(Assets!G86*0.1)+(Assets!J86*0.15)+(Assets!L86*0.2)+(Assets!N86*0.05),
IF(B85="Amber",
(Assets!C86*0.3)+(Assets!E86*0.12)+(Assets!G86*0.09)+(Assets!J86*0.17)+(Assets!L86*0.25)+(Assets!N86*0.07),
(Assets!C86*0.15)+(Assets!E86*0.03)+(Assets!G86*0.07)+(Assets!J86*0.33)+(Assets!L86*0.35)+(Assets!N86*0.07)))</f>
        <v>1.9230000000000013E-3</v>
      </c>
      <c r="E85" s="12">
        <f t="shared" si="2"/>
        <v>1.6912443635299494</v>
      </c>
      <c r="F85" s="10">
        <f t="shared" si="3"/>
        <v>1.6629049832109237</v>
      </c>
      <c r="G85" s="12"/>
    </row>
    <row r="86" spans="1:7" x14ac:dyDescent="0.35">
      <c r="A86" s="4">
        <v>44317</v>
      </c>
      <c r="B86" s="25" t="str">
        <f>'Risk Score'!F86</f>
        <v>Amber</v>
      </c>
      <c r="C86" s="14">
        <f>(Assets!C87*0.35)+(Assets!E87*0.15)+(Assets!G87*0.1)+(Assets!J87*0.05)+(Assets!L87*0.2)+(Assets!N87*0.05)</f>
        <v>4.2119999999999998E-2</v>
      </c>
      <c r="D86" s="14">
        <f>IF(B86="Green",
(Assets!C87*0.35)+(Assets!E87*0.15)+(Assets!G87*0.1)+(Assets!J87*0.15)+(Assets!L87*0.2)+(Assets!N87*0.05),
IF(B86="Amber",
(Assets!C87*0.3)+(Assets!E87*0.12)+(Assets!G87*0.09)+(Assets!J87*0.17)+(Assets!L87*0.25)+(Assets!N87*0.07),
(Assets!C87*0.15)+(Assets!E87*0.03)+(Assets!G87*0.07)+(Assets!J87*0.33)+(Assets!L87*0.35)+(Assets!N87*0.07)))</f>
        <v>4.1229000000000002E-2</v>
      </c>
      <c r="E86" s="12">
        <f t="shared" si="2"/>
        <v>1.7624795761218308</v>
      </c>
      <c r="F86" s="10">
        <f t="shared" si="3"/>
        <v>1.7314648927637268</v>
      </c>
      <c r="G86" s="12"/>
    </row>
    <row r="87" spans="1:7" x14ac:dyDescent="0.35">
      <c r="A87" s="4">
        <v>44348</v>
      </c>
      <c r="B87" s="25" t="str">
        <f>'Risk Score'!F87</f>
        <v>Amber</v>
      </c>
      <c r="C87" s="14">
        <f>(Assets!C88*0.35)+(Assets!E88*0.15)+(Assets!G88*0.1)+(Assets!J88*0.05)+(Assets!L88*0.2)+(Assets!N88*0.05)</f>
        <v>7.3099999999999997E-3</v>
      </c>
      <c r="D87" s="14">
        <f>IF(B87="Green",
(Assets!C88*0.35)+(Assets!E88*0.15)+(Assets!G88*0.1)+(Assets!J88*0.15)+(Assets!L88*0.2)+(Assets!N88*0.05),
IF(B87="Amber",
(Assets!C88*0.3)+(Assets!E88*0.12)+(Assets!G88*0.09)+(Assets!J88*0.17)+(Assets!L88*0.25)+(Assets!N88*0.07),
(Assets!C88*0.15)+(Assets!E88*0.03)+(Assets!G88*0.07)+(Assets!J88*0.33)+(Assets!L88*0.35)+(Assets!N88*0.07)))</f>
        <v>1.6620000000000005E-3</v>
      </c>
      <c r="E87" s="12">
        <f t="shared" si="2"/>
        <v>1.7753633018232813</v>
      </c>
      <c r="F87" s="10">
        <f t="shared" si="3"/>
        <v>1.7343425874155003</v>
      </c>
      <c r="G87" s="12"/>
    </row>
    <row r="88" spans="1:7" x14ac:dyDescent="0.35">
      <c r="A88" s="4">
        <v>44378</v>
      </c>
      <c r="B88" s="25" t="str">
        <f>'Risk Score'!F88</f>
        <v>Green</v>
      </c>
      <c r="C88" s="14">
        <f>(Assets!C89*0.35)+(Assets!E89*0.15)+(Assets!G89*0.1)+(Assets!J89*0.05)+(Assets!L89*0.2)+(Assets!N89*0.05)</f>
        <v>1.1375000000000001E-2</v>
      </c>
      <c r="D88" s="14">
        <f>IF(B88="Green",
(Assets!C89*0.35)+(Assets!E89*0.15)+(Assets!G89*0.1)+(Assets!J89*0.15)+(Assets!L89*0.2)+(Assets!N89*0.05),
IF(B88="Amber",
(Assets!C89*0.3)+(Assets!E89*0.12)+(Assets!G89*0.09)+(Assets!J89*0.17)+(Assets!L89*0.25)+(Assets!N89*0.07),
(Assets!C89*0.15)+(Assets!E89*0.03)+(Assets!G89*0.07)+(Assets!J89*0.33)+(Assets!L89*0.35)+(Assets!N89*0.07)))</f>
        <v>1.4835000000000001E-2</v>
      </c>
      <c r="E88" s="12">
        <f t="shared" si="2"/>
        <v>1.795558059381521</v>
      </c>
      <c r="F88" s="10">
        <f t="shared" si="3"/>
        <v>1.7600715596998091</v>
      </c>
      <c r="G88" s="12"/>
    </row>
    <row r="89" spans="1:7" x14ac:dyDescent="0.35">
      <c r="A89" s="4">
        <v>44409</v>
      </c>
      <c r="B89" s="25" t="str">
        <f>'Risk Score'!F89</f>
        <v>Green</v>
      </c>
      <c r="C89" s="14">
        <f>(Assets!C90*0.35)+(Assets!E90*0.15)+(Assets!G90*0.1)+(Assets!J90*0.05)+(Assets!L90*0.2)+(Assets!N90*0.05)</f>
        <v>4.9939999999999998E-2</v>
      </c>
      <c r="D89" s="14">
        <f>IF(B89="Green",
(Assets!C90*0.35)+(Assets!E90*0.15)+(Assets!G90*0.1)+(Assets!J90*0.15)+(Assets!L90*0.2)+(Assets!N90*0.05),
IF(B89="Amber",
(Assets!C90*0.3)+(Assets!E90*0.12)+(Assets!G90*0.09)+(Assets!J90*0.17)+(Assets!L90*0.25)+(Assets!N90*0.07),
(Assets!C90*0.15)+(Assets!E90*0.03)+(Assets!G90*0.07)+(Assets!J90*0.33)+(Assets!L90*0.35)+(Assets!N90*0.07)))</f>
        <v>4.734E-2</v>
      </c>
      <c r="E89" s="12">
        <f t="shared" si="2"/>
        <v>1.8852282288670343</v>
      </c>
      <c r="F89" s="10">
        <f t="shared" si="3"/>
        <v>1.843393347335998</v>
      </c>
      <c r="G89" s="12"/>
    </row>
    <row r="90" spans="1:7" x14ac:dyDescent="0.35">
      <c r="A90" s="4">
        <v>44440</v>
      </c>
      <c r="B90" s="25" t="str">
        <f>'Risk Score'!F90</f>
        <v>Green</v>
      </c>
      <c r="C90" s="14">
        <f>(Assets!C91*0.35)+(Assets!E91*0.15)+(Assets!G91*0.1)+(Assets!J91*0.05)+(Assets!L91*0.2)+(Assets!N91*0.05)</f>
        <v>1.512E-2</v>
      </c>
      <c r="D90" s="14">
        <f>IF(B90="Green",
(Assets!C91*0.35)+(Assets!E91*0.15)+(Assets!G91*0.1)+(Assets!J91*0.15)+(Assets!L91*0.2)+(Assets!N91*0.05),
IF(B90="Amber",
(Assets!C91*0.3)+(Assets!E91*0.12)+(Assets!G91*0.09)+(Assets!J91*0.17)+(Assets!L91*0.25)+(Assets!N91*0.07),
(Assets!C91*0.15)+(Assets!E91*0.03)+(Assets!G91*0.07)+(Assets!J91*0.33)+(Assets!L91*0.35)+(Assets!N91*0.07)))</f>
        <v>1.24E-2</v>
      </c>
      <c r="E90" s="12">
        <f t="shared" si="2"/>
        <v>1.9137328796875039</v>
      </c>
      <c r="F90" s="10">
        <f t="shared" si="3"/>
        <v>1.8662514248429642</v>
      </c>
      <c r="G90" s="12"/>
    </row>
    <row r="91" spans="1:7" x14ac:dyDescent="0.35">
      <c r="A91" s="4">
        <v>44470</v>
      </c>
      <c r="B91" s="25" t="str">
        <f>'Risk Score'!F91</f>
        <v>Green</v>
      </c>
      <c r="C91" s="14">
        <f>(Assets!C92*0.35)+(Assets!E92*0.15)+(Assets!G92*0.1)+(Assets!J92*0.05)+(Assets!L92*0.2)+(Assets!N92*0.05)</f>
        <v>1.4105000000000001E-2</v>
      </c>
      <c r="D91" s="14">
        <f>IF(B91="Green",
(Assets!C92*0.35)+(Assets!E92*0.15)+(Assets!G92*0.1)+(Assets!J92*0.15)+(Assets!L92*0.2)+(Assets!N92*0.05),
IF(B91="Amber",
(Assets!C92*0.3)+(Assets!E92*0.12)+(Assets!G92*0.09)+(Assets!J92*0.17)+(Assets!L92*0.25)+(Assets!N92*0.07),
(Assets!C92*0.15)+(Assets!E92*0.03)+(Assets!G92*0.07)+(Assets!J92*0.33)+(Assets!L92*0.35)+(Assets!N92*0.07)))</f>
        <v>1.8584999999999997E-2</v>
      </c>
      <c r="E91" s="12">
        <f t="shared" si="2"/>
        <v>1.9407260819554963</v>
      </c>
      <c r="F91" s="10">
        <f t="shared" si="3"/>
        <v>1.9009357075736708</v>
      </c>
      <c r="G91" s="12"/>
    </row>
    <row r="92" spans="1:7" x14ac:dyDescent="0.35">
      <c r="A92" s="4">
        <v>44501</v>
      </c>
      <c r="B92" s="25" t="str">
        <f>'Risk Score'!F92</f>
        <v>Green</v>
      </c>
      <c r="C92" s="14">
        <f>(Assets!C93*0.35)+(Assets!E93*0.15)+(Assets!G93*0.1)+(Assets!J93*0.05)+(Assets!L93*0.2)+(Assets!N93*0.05)</f>
        <v>-2.6724999999999999E-2</v>
      </c>
      <c r="D92" s="14">
        <f>IF(B92="Green",
(Assets!C93*0.35)+(Assets!E93*0.15)+(Assets!G93*0.1)+(Assets!J93*0.15)+(Assets!L93*0.2)+(Assets!N93*0.05),
IF(B92="Amber",
(Assets!C93*0.3)+(Assets!E93*0.12)+(Assets!G93*0.09)+(Assets!J93*0.17)+(Assets!L93*0.25)+(Assets!N93*0.07),
(Assets!C93*0.15)+(Assets!E93*0.03)+(Assets!G93*0.07)+(Assets!J93*0.33)+(Assets!L93*0.35)+(Assets!N93*0.07)))</f>
        <v>-2.6705E-2</v>
      </c>
      <c r="E92" s="12">
        <f t="shared" si="2"/>
        <v>1.8888601774152356</v>
      </c>
      <c r="F92" s="10">
        <f t="shared" si="3"/>
        <v>1.8501712195029161</v>
      </c>
      <c r="G92" s="12"/>
    </row>
    <row r="93" spans="1:7" x14ac:dyDescent="0.35">
      <c r="A93" s="4">
        <v>44531</v>
      </c>
      <c r="B93" s="25" t="str">
        <f>'Risk Score'!F93</f>
        <v>Green</v>
      </c>
      <c r="C93" s="14">
        <f>(Assets!C94*0.35)+(Assets!E94*0.15)+(Assets!G94*0.1)+(Assets!J94*0.05)+(Assets!L94*0.2)+(Assets!N94*0.05)</f>
        <v>2.0760000000000001E-2</v>
      </c>
      <c r="D93" s="14">
        <f>IF(B93="Green",
(Assets!C94*0.35)+(Assets!E94*0.15)+(Assets!G94*0.1)+(Assets!J94*0.15)+(Assets!L94*0.2)+(Assets!N94*0.05),
IF(B93="Amber",
(Assets!C94*0.3)+(Assets!E94*0.12)+(Assets!G94*0.09)+(Assets!J94*0.17)+(Assets!L94*0.25)+(Assets!N94*0.07),
(Assets!C94*0.15)+(Assets!E94*0.03)+(Assets!G94*0.07)+(Assets!J94*0.33)+(Assets!L94*0.35)+(Assets!N94*0.07)))</f>
        <v>2.069E-2</v>
      </c>
      <c r="E93" s="12">
        <f t="shared" si="2"/>
        <v>1.9280729146983762</v>
      </c>
      <c r="F93" s="10">
        <f t="shared" si="3"/>
        <v>1.8884512620344316</v>
      </c>
      <c r="G93" s="12"/>
    </row>
    <row r="94" spans="1:7" x14ac:dyDescent="0.35">
      <c r="A94" s="4">
        <v>44562</v>
      </c>
      <c r="B94" s="25" t="str">
        <f>'Risk Score'!F94</f>
        <v>Green</v>
      </c>
      <c r="C94" s="14">
        <f>(Assets!C95*0.35)+(Assets!E95*0.15)+(Assets!G95*0.1)+(Assets!J95*0.05)+(Assets!L95*0.2)+(Assets!N95*0.05)</f>
        <v>7.1299999999999992E-3</v>
      </c>
      <c r="D94" s="14">
        <f>IF(B94="Green",
(Assets!C95*0.35)+(Assets!E95*0.15)+(Assets!G95*0.1)+(Assets!J95*0.15)+(Assets!L95*0.2)+(Assets!N95*0.05),
IF(B94="Amber",
(Assets!C95*0.3)+(Assets!E95*0.12)+(Assets!G95*0.09)+(Assets!J95*0.17)+(Assets!L95*0.25)+(Assets!N95*0.07),
(Assets!C95*0.15)+(Assets!E95*0.03)+(Assets!G95*0.07)+(Assets!J95*0.33)+(Assets!L95*0.35)+(Assets!N95*0.07)))</f>
        <v>6.579999999999999E-3</v>
      </c>
      <c r="E94" s="12">
        <f t="shared" si="2"/>
        <v>1.9418200745801757</v>
      </c>
      <c r="F94" s="10">
        <f t="shared" si="3"/>
        <v>1.9008772713386182</v>
      </c>
      <c r="G94" s="12"/>
    </row>
    <row r="95" spans="1:7" x14ac:dyDescent="0.35">
      <c r="A95" s="4">
        <v>44593</v>
      </c>
      <c r="B95" s="25" t="str">
        <f>'Risk Score'!F95</f>
        <v>Amber</v>
      </c>
      <c r="C95" s="14">
        <f>(Assets!C96*0.35)+(Assets!E96*0.15)+(Assets!G96*0.1)+(Assets!J96*0.05)+(Assets!L96*0.2)+(Assets!N96*0.05)</f>
        <v>-1.4754999999999999E-2</v>
      </c>
      <c r="D95" s="14">
        <f>IF(B95="Green",
(Assets!C96*0.35)+(Assets!E96*0.15)+(Assets!G96*0.1)+(Assets!J96*0.15)+(Assets!L96*0.2)+(Assets!N96*0.05),
IF(B95="Amber",
(Assets!C96*0.3)+(Assets!E96*0.12)+(Assets!G96*0.09)+(Assets!J96*0.17)+(Assets!L96*0.25)+(Assets!N96*0.07),
(Assets!C96*0.15)+(Assets!E96*0.03)+(Assets!G96*0.07)+(Assets!J96*0.33)+(Assets!L96*0.35)+(Assets!N96*0.07)))</f>
        <v>-3.7950000000000006E-3</v>
      </c>
      <c r="E95" s="12">
        <f t="shared" si="2"/>
        <v>1.9131685193797452</v>
      </c>
      <c r="F95" s="10">
        <f t="shared" si="3"/>
        <v>1.893663442093888</v>
      </c>
      <c r="G95" s="12"/>
    </row>
    <row r="96" spans="1:7" x14ac:dyDescent="0.35">
      <c r="A96" s="4">
        <v>44621</v>
      </c>
      <c r="B96" s="25" t="str">
        <f>'Risk Score'!F96</f>
        <v>Amber</v>
      </c>
      <c r="C96" s="14">
        <f>(Assets!C97*0.35)+(Assets!E97*0.15)+(Assets!G97*0.1)+(Assets!J97*0.05)+(Assets!L97*0.2)+(Assets!N97*0.05)</f>
        <v>2.4994999999999996E-2</v>
      </c>
      <c r="D96" s="14">
        <f>IF(B96="Green",
(Assets!C97*0.35)+(Assets!E97*0.15)+(Assets!G97*0.1)+(Assets!J97*0.15)+(Assets!L97*0.2)+(Assets!N97*0.05),
IF(B96="Amber",
(Assets!C97*0.3)+(Assets!E97*0.12)+(Assets!G97*0.09)+(Assets!J97*0.17)+(Assets!L97*0.25)+(Assets!N97*0.07),
(Assets!C97*0.15)+(Assets!E97*0.03)+(Assets!G97*0.07)+(Assets!J97*0.33)+(Assets!L97*0.35)+(Assets!N97*0.07)))</f>
        <v>2.4243999999999998E-2</v>
      </c>
      <c r="E96" s="12">
        <f t="shared" si="2"/>
        <v>1.9609881665216422</v>
      </c>
      <c r="F96" s="10">
        <f t="shared" si="3"/>
        <v>1.9395734185840121</v>
      </c>
      <c r="G96" s="12"/>
    </row>
    <row r="97" spans="1:7" x14ac:dyDescent="0.35">
      <c r="A97" s="4">
        <v>44652</v>
      </c>
      <c r="B97" s="25" t="str">
        <f>'Risk Score'!F97</f>
        <v>Amber</v>
      </c>
      <c r="C97" s="14">
        <f>(Assets!C98*0.35)+(Assets!E98*0.15)+(Assets!G98*0.1)+(Assets!J98*0.05)+(Assets!L98*0.2)+(Assets!N98*0.05)</f>
        <v>-1.1514999999999999E-2</v>
      </c>
      <c r="D97" s="14">
        <f>IF(B97="Green",
(Assets!C98*0.35)+(Assets!E98*0.15)+(Assets!G98*0.1)+(Assets!J98*0.15)+(Assets!L98*0.2)+(Assets!N98*0.05),
IF(B97="Amber",
(Assets!C98*0.3)+(Assets!E98*0.12)+(Assets!G98*0.09)+(Assets!J98*0.17)+(Assets!L98*0.25)+(Assets!N98*0.07),
(Assets!C98*0.15)+(Assets!E98*0.03)+(Assets!G98*0.07)+(Assets!J98*0.33)+(Assets!L98*0.35)+(Assets!N98*0.07)))</f>
        <v>-4.8000000000000022E-3</v>
      </c>
      <c r="E97" s="12">
        <f t="shared" si="2"/>
        <v>1.9384073877841455</v>
      </c>
      <c r="F97" s="10">
        <f t="shared" si="3"/>
        <v>1.9302634661748088</v>
      </c>
      <c r="G97" s="12"/>
    </row>
    <row r="98" spans="1:7" x14ac:dyDescent="0.35">
      <c r="A98" s="4">
        <v>44682</v>
      </c>
      <c r="B98" s="25" t="str">
        <f>'Risk Score'!F98</f>
        <v>Green</v>
      </c>
      <c r="C98" s="14">
        <f>(Assets!C99*0.35)+(Assets!E99*0.15)+(Assets!G99*0.1)+(Assets!J99*0.05)+(Assets!L99*0.2)+(Assets!N99*0.05)</f>
        <v>-1.1759999999999998E-2</v>
      </c>
      <c r="D98" s="14">
        <f>IF(B98="Green",
(Assets!C99*0.35)+(Assets!E99*0.15)+(Assets!G99*0.1)+(Assets!J99*0.15)+(Assets!L99*0.2)+(Assets!N99*0.05),
IF(B98="Amber",
(Assets!C99*0.3)+(Assets!E99*0.12)+(Assets!G99*0.09)+(Assets!J99*0.17)+(Assets!L99*0.25)+(Assets!N99*0.07),
(Assets!C99*0.15)+(Assets!E99*0.03)+(Assets!G99*0.07)+(Assets!J99*0.33)+(Assets!L99*0.35)+(Assets!N99*0.07)))</f>
        <v>-1.3639999999999998E-2</v>
      </c>
      <c r="E98" s="12">
        <f t="shared" si="2"/>
        <v>1.9156117169038038</v>
      </c>
      <c r="F98" s="10">
        <f t="shared" si="3"/>
        <v>1.9039346724961845</v>
      </c>
      <c r="G98" s="12"/>
    </row>
    <row r="99" spans="1:7" x14ac:dyDescent="0.35">
      <c r="A99" s="4">
        <v>44713</v>
      </c>
      <c r="B99" s="25" t="str">
        <f>'Risk Score'!F99</f>
        <v>Amber</v>
      </c>
      <c r="C99" s="14">
        <f>(Assets!C100*0.35)+(Assets!E100*0.15)+(Assets!G100*0.1)+(Assets!J100*0.05)+(Assets!L100*0.2)+(Assets!N100*0.05)</f>
        <v>-3.0265E-2</v>
      </c>
      <c r="D99" s="14">
        <f>IF(B99="Green",
(Assets!C100*0.35)+(Assets!E100*0.15)+(Assets!G100*0.1)+(Assets!J100*0.15)+(Assets!L100*0.2)+(Assets!N100*0.05),
IF(B99="Amber",
(Assets!C100*0.3)+(Assets!E100*0.12)+(Assets!G100*0.09)+(Assets!J100*0.17)+(Assets!L100*0.25)+(Assets!N100*0.07),
(Assets!C100*0.15)+(Assets!E100*0.03)+(Assets!G100*0.07)+(Assets!J100*0.33)+(Assets!L100*0.35)+(Assets!N100*0.07)))</f>
        <v>-2.5402999999999998E-2</v>
      </c>
      <c r="E99" s="12">
        <f t="shared" si="2"/>
        <v>1.8576357282917102</v>
      </c>
      <c r="F99" s="10">
        <f t="shared" si="3"/>
        <v>1.855569020010764</v>
      </c>
      <c r="G99" s="12"/>
    </row>
    <row r="100" spans="1:7" x14ac:dyDescent="0.35">
      <c r="A100" s="4">
        <v>44743</v>
      </c>
      <c r="B100" s="25" t="str">
        <f>'Risk Score'!F100</f>
        <v>Green</v>
      </c>
      <c r="C100" s="14">
        <f>(Assets!C101*0.35)+(Assets!E101*0.15)+(Assets!G101*0.1)+(Assets!J101*0.05)+(Assets!L101*0.2)+(Assets!N101*0.05)</f>
        <v>5.0620000000000005E-2</v>
      </c>
      <c r="D100" s="14">
        <f>IF(B100="Green",
(Assets!C101*0.35)+(Assets!E101*0.15)+(Assets!G101*0.1)+(Assets!J101*0.15)+(Assets!L101*0.2)+(Assets!N101*0.05),
IF(B100="Amber",
(Assets!C101*0.3)+(Assets!E101*0.12)+(Assets!G101*0.09)+(Assets!J101*0.17)+(Assets!L101*0.25)+(Assets!N101*0.07),
(Assets!C101*0.15)+(Assets!E101*0.03)+(Assets!G101*0.07)+(Assets!J101*0.33)+(Assets!L101*0.35)+(Assets!N101*0.07)))</f>
        <v>5.1310000000000008E-2</v>
      </c>
      <c r="E100" s="12">
        <f t="shared" si="2"/>
        <v>1.9516692488578369</v>
      </c>
      <c r="F100" s="10">
        <f t="shared" si="3"/>
        <v>1.9507782664275162</v>
      </c>
      <c r="G100" s="12"/>
    </row>
    <row r="101" spans="1:7" x14ac:dyDescent="0.35">
      <c r="A101" s="4">
        <v>44774</v>
      </c>
      <c r="B101" s="25" t="str">
        <f>'Risk Score'!F101</f>
        <v>Green</v>
      </c>
      <c r="C101" s="14">
        <f>(Assets!C102*0.35)+(Assets!E102*0.15)+(Assets!G102*0.1)+(Assets!J102*0.05)+(Assets!L102*0.2)+(Assets!N102*0.05)</f>
        <v>1.421E-2</v>
      </c>
      <c r="D101" s="14">
        <f>IF(B101="Green",
(Assets!C102*0.35)+(Assets!E102*0.15)+(Assets!G102*0.1)+(Assets!J102*0.15)+(Assets!L102*0.2)+(Assets!N102*0.05),
IF(B101="Amber",
(Assets!C102*0.3)+(Assets!E102*0.12)+(Assets!G102*0.09)+(Assets!J102*0.17)+(Assets!L102*0.25)+(Assets!N102*0.07),
(Assets!C102*0.15)+(Assets!E102*0.03)+(Assets!G102*0.07)+(Assets!J102*0.33)+(Assets!L102*0.35)+(Assets!N102*0.07)))</f>
        <v>1.3850000000000001E-2</v>
      </c>
      <c r="E101" s="12">
        <f t="shared" si="2"/>
        <v>1.9794024688841068</v>
      </c>
      <c r="F101" s="10">
        <f t="shared" si="3"/>
        <v>1.977796545417537</v>
      </c>
      <c r="G101" s="12"/>
    </row>
    <row r="102" spans="1:7" x14ac:dyDescent="0.35">
      <c r="A102" s="4">
        <v>44805</v>
      </c>
      <c r="B102" s="25" t="str">
        <f>'Risk Score'!F102</f>
        <v>Green</v>
      </c>
      <c r="C102" s="14">
        <f>(Assets!C103*0.35)+(Assets!E103*0.15)+(Assets!G103*0.1)+(Assets!J103*0.05)+(Assets!L103*0.2)+(Assets!N103*0.05)</f>
        <v>-1.5279999999999998E-2</v>
      </c>
      <c r="D102" s="14">
        <f>IF(B102="Green",
(Assets!C103*0.35)+(Assets!E103*0.15)+(Assets!G103*0.1)+(Assets!J103*0.15)+(Assets!L103*0.2)+(Assets!N103*0.05),
IF(B102="Amber",
(Assets!C103*0.3)+(Assets!E103*0.12)+(Assets!G103*0.09)+(Assets!J103*0.17)+(Assets!L103*0.25)+(Assets!N103*0.07),
(Assets!C103*0.15)+(Assets!E103*0.03)+(Assets!G103*0.07)+(Assets!J103*0.33)+(Assets!L103*0.35)+(Assets!N103*0.07)))</f>
        <v>-1.6969999999999999E-2</v>
      </c>
      <c r="E102" s="12">
        <f t="shared" si="2"/>
        <v>1.9491571991595578</v>
      </c>
      <c r="F102" s="10">
        <f t="shared" si="3"/>
        <v>1.9442333380418013</v>
      </c>
      <c r="G102" s="12"/>
    </row>
    <row r="103" spans="1:7" x14ac:dyDescent="0.35">
      <c r="A103" s="4">
        <v>44835</v>
      </c>
      <c r="B103" s="25" t="str">
        <f>'Risk Score'!F103</f>
        <v>Green</v>
      </c>
      <c r="C103" s="14">
        <f>(Assets!C104*0.35)+(Assets!E104*0.15)+(Assets!G104*0.1)+(Assets!J104*0.05)+(Assets!L104*0.2)+(Assets!N104*0.05)</f>
        <v>3.7794999999999995E-2</v>
      </c>
      <c r="D103" s="14">
        <f>IF(B103="Green",
(Assets!C104*0.35)+(Assets!E104*0.15)+(Assets!G104*0.1)+(Assets!J104*0.15)+(Assets!L104*0.2)+(Assets!N104*0.05),
IF(B103="Amber",
(Assets!C104*0.3)+(Assets!E104*0.12)+(Assets!G104*0.09)+(Assets!J104*0.17)+(Assets!L104*0.25)+(Assets!N104*0.07),
(Assets!C104*0.15)+(Assets!E104*0.03)+(Assets!G104*0.07)+(Assets!J104*0.33)+(Assets!L104*0.35)+(Assets!N104*0.07)))</f>
        <v>3.7954999999999996E-2</v>
      </c>
      <c r="E103" s="12">
        <f t="shared" si="2"/>
        <v>2.0228255955017933</v>
      </c>
      <c r="F103" s="10">
        <f t="shared" si="3"/>
        <v>2.0180267143871777</v>
      </c>
      <c r="G103" s="12"/>
    </row>
    <row r="104" spans="1:7" x14ac:dyDescent="0.35">
      <c r="A104" s="4">
        <v>44866</v>
      </c>
      <c r="B104" s="25" t="str">
        <f>'Risk Score'!F104</f>
        <v>Green</v>
      </c>
      <c r="C104" s="14">
        <f>(Assets!C105*0.35)+(Assets!E105*0.15)+(Assets!G105*0.1)+(Assets!J105*0.05)+(Assets!L105*0.2)+(Assets!N105*0.05)</f>
        <v>2.4145E-2</v>
      </c>
      <c r="D104" s="14">
        <f>IF(B104="Green",
(Assets!C105*0.35)+(Assets!E105*0.15)+(Assets!G105*0.1)+(Assets!J105*0.15)+(Assets!L105*0.2)+(Assets!N105*0.05),
IF(B104="Amber",
(Assets!C105*0.3)+(Assets!E105*0.12)+(Assets!G105*0.09)+(Assets!J105*0.17)+(Assets!L105*0.25)+(Assets!N105*0.07),
(Assets!C105*0.15)+(Assets!E105*0.03)+(Assets!G105*0.07)+(Assets!J105*0.33)+(Assets!L105*0.35)+(Assets!N105*0.07)))</f>
        <v>2.8474999999999997E-2</v>
      </c>
      <c r="E104" s="12">
        <f t="shared" si="2"/>
        <v>2.0716667195051843</v>
      </c>
      <c r="F104" s="10">
        <f t="shared" si="3"/>
        <v>2.0754900250793527</v>
      </c>
      <c r="G104" s="12"/>
    </row>
    <row r="105" spans="1:7" x14ac:dyDescent="0.35">
      <c r="A105" s="4">
        <v>44896</v>
      </c>
      <c r="B105" s="25" t="str">
        <f>'Risk Score'!F105</f>
        <v>Green</v>
      </c>
      <c r="C105" s="14">
        <f>(Assets!C106*0.35)+(Assets!E106*0.15)+(Assets!G106*0.1)+(Assets!J106*0.05)+(Assets!L106*0.2)+(Assets!N106*0.05)</f>
        <v>-1.4844999999999995E-2</v>
      </c>
      <c r="D105" s="14">
        <f>IF(B105="Green",
(Assets!C106*0.35)+(Assets!E106*0.15)+(Assets!G106*0.1)+(Assets!J106*0.15)+(Assets!L106*0.2)+(Assets!N106*0.05),
IF(B105="Amber",
(Assets!C106*0.3)+(Assets!E106*0.12)+(Assets!G106*0.09)+(Assets!J106*0.17)+(Assets!L106*0.25)+(Assets!N106*0.07),
(Assets!C106*0.15)+(Assets!E106*0.03)+(Assets!G106*0.07)+(Assets!J106*0.33)+(Assets!L106*0.35)+(Assets!N106*0.07)))</f>
        <v>-1.1094999999999995E-2</v>
      </c>
      <c r="E105" s="12">
        <f t="shared" si="2"/>
        <v>2.0409128270541297</v>
      </c>
      <c r="F105" s="10">
        <f t="shared" si="3"/>
        <v>2.0524624632510973</v>
      </c>
      <c r="G105" s="12"/>
    </row>
    <row r="106" spans="1:7" x14ac:dyDescent="0.35">
      <c r="A106" s="4">
        <v>44927</v>
      </c>
      <c r="B106" s="25" t="str">
        <f>'Risk Score'!F106</f>
        <v>Green</v>
      </c>
      <c r="C106" s="14">
        <f>(Assets!C107*0.35)+(Assets!E107*0.15)+(Assets!G107*0.1)+(Assets!J107*0.05)+(Assets!L107*0.2)+(Assets!N107*0.05)</f>
        <v>-1.0934999999999999E-2</v>
      </c>
      <c r="D106" s="14">
        <f>IF(B106="Green",
(Assets!C107*0.35)+(Assets!E107*0.15)+(Assets!G107*0.1)+(Assets!J107*0.15)+(Assets!L107*0.2)+(Assets!N107*0.05),
IF(B106="Amber",
(Assets!C107*0.3)+(Assets!E107*0.12)+(Assets!G107*0.09)+(Assets!J107*0.17)+(Assets!L107*0.25)+(Assets!N107*0.07),
(Assets!C107*0.15)+(Assets!E107*0.03)+(Assets!G107*0.07)+(Assets!J107*0.33)+(Assets!L107*0.35)+(Assets!N107*0.07)))</f>
        <v>-6.9149999999999975E-3</v>
      </c>
      <c r="E106" s="12">
        <f t="shared" si="2"/>
        <v>2.0185954452902926</v>
      </c>
      <c r="F106" s="10">
        <f t="shared" si="3"/>
        <v>2.038269685317716</v>
      </c>
      <c r="G106" s="12"/>
    </row>
    <row r="107" spans="1:7" x14ac:dyDescent="0.35">
      <c r="A107" s="4">
        <v>44958</v>
      </c>
      <c r="B107" s="25" t="str">
        <f>'Risk Score'!F107</f>
        <v>Green</v>
      </c>
      <c r="C107" s="14">
        <f>(Assets!C108*0.35)+(Assets!E108*0.15)+(Assets!G108*0.1)+(Assets!J108*0.05)+(Assets!L108*0.2)+(Assets!N108*0.05)</f>
        <v>-6.4349999999999997E-3</v>
      </c>
      <c r="D107" s="14">
        <f>IF(B107="Green",
(Assets!C108*0.35)+(Assets!E108*0.15)+(Assets!G108*0.1)+(Assets!J108*0.15)+(Assets!L108*0.2)+(Assets!N108*0.05),
IF(B107="Amber",
(Assets!C108*0.3)+(Assets!E108*0.12)+(Assets!G108*0.09)+(Assets!J108*0.17)+(Assets!L108*0.25)+(Assets!N108*0.07),
(Assets!C108*0.15)+(Assets!E108*0.03)+(Assets!G108*0.07)+(Assets!J108*0.33)+(Assets!L108*0.35)+(Assets!N108*0.07)))</f>
        <v>-9.0249999999999983E-3</v>
      </c>
      <c r="E107" s="12">
        <f t="shared" si="2"/>
        <v>2.0056057835998495</v>
      </c>
      <c r="F107" s="10">
        <f t="shared" si="3"/>
        <v>2.0198743014077238</v>
      </c>
      <c r="G107" s="12"/>
    </row>
    <row r="108" spans="1:7" x14ac:dyDescent="0.35">
      <c r="A108" s="4">
        <v>44986</v>
      </c>
      <c r="B108" s="25" t="str">
        <f>'Risk Score'!F108</f>
        <v>Green</v>
      </c>
      <c r="C108" s="14">
        <f>(Assets!C109*0.35)+(Assets!E109*0.15)+(Assets!G109*0.1)+(Assets!J109*0.05)+(Assets!L109*0.2)+(Assets!N109*0.05)</f>
        <v>-1.0999999999999998E-3</v>
      </c>
      <c r="D108" s="14">
        <f>IF(B108="Green",
(Assets!C109*0.35)+(Assets!E109*0.15)+(Assets!G109*0.1)+(Assets!J109*0.15)+(Assets!L109*0.2)+(Assets!N109*0.05),
IF(B108="Amber",
(Assets!C109*0.3)+(Assets!E109*0.12)+(Assets!G109*0.09)+(Assets!J109*0.17)+(Assets!L109*0.25)+(Assets!N109*0.07),
(Assets!C109*0.15)+(Assets!E109*0.03)+(Assets!G109*0.07)+(Assets!J109*0.33)+(Assets!L109*0.35)+(Assets!N109*0.07)))</f>
        <v>6.6199999999999991E-3</v>
      </c>
      <c r="E108" s="12">
        <f t="shared" si="2"/>
        <v>2.0033996172378896</v>
      </c>
      <c r="F108" s="10">
        <f t="shared" si="3"/>
        <v>2.0332458692830433</v>
      </c>
      <c r="G108" s="12"/>
    </row>
    <row r="109" spans="1:7" x14ac:dyDescent="0.35">
      <c r="A109" s="4">
        <v>45017</v>
      </c>
      <c r="B109" s="25" t="str">
        <f>'Risk Score'!F109</f>
        <v>Green</v>
      </c>
      <c r="C109" s="14">
        <f>(Assets!C110*0.35)+(Assets!E110*0.15)+(Assets!G110*0.1)+(Assets!J110*0.05)+(Assets!L110*0.2)+(Assets!N110*0.05)</f>
        <v>1.4914999999999998E-2</v>
      </c>
      <c r="D109" s="14">
        <f>IF(B109="Green",
(Assets!C110*0.35)+(Assets!E110*0.15)+(Assets!G110*0.1)+(Assets!J110*0.15)+(Assets!L110*0.2)+(Assets!N110*0.05),
IF(B109="Amber",
(Assets!C110*0.3)+(Assets!E110*0.12)+(Assets!G110*0.09)+(Assets!J110*0.17)+(Assets!L110*0.25)+(Assets!N110*0.07),
(Assets!C110*0.15)+(Assets!E110*0.03)+(Assets!G110*0.07)+(Assets!J110*0.33)+(Assets!L110*0.35)+(Assets!N110*0.07)))</f>
        <v>1.5264999999999997E-2</v>
      </c>
      <c r="E109" s="12">
        <f t="shared" si="2"/>
        <v>2.0332803225289928</v>
      </c>
      <c r="F109" s="10">
        <f t="shared" si="3"/>
        <v>2.0642833674776493</v>
      </c>
      <c r="G109" s="12"/>
    </row>
    <row r="110" spans="1:7" x14ac:dyDescent="0.35">
      <c r="A110" s="4">
        <v>45047</v>
      </c>
      <c r="B110" s="25" t="str">
        <f>'Risk Score'!F110</f>
        <v>Green</v>
      </c>
      <c r="C110" s="14">
        <f>(Assets!C111*0.35)+(Assets!E111*0.15)+(Assets!G111*0.1)+(Assets!J111*0.05)+(Assets!L111*0.2)+(Assets!N111*0.05)</f>
        <v>1.4934999999999999E-2</v>
      </c>
      <c r="D110" s="14">
        <f>IF(B110="Green",
(Assets!C111*0.35)+(Assets!E111*0.15)+(Assets!G111*0.1)+(Assets!J111*0.15)+(Assets!L111*0.2)+(Assets!N111*0.05),
IF(B110="Amber",
(Assets!C111*0.3)+(Assets!E111*0.12)+(Assets!G111*0.09)+(Assets!J111*0.17)+(Assets!L111*0.25)+(Assets!N111*0.07),
(Assets!C111*0.15)+(Assets!E111*0.03)+(Assets!G111*0.07)+(Assets!J111*0.33)+(Assets!L111*0.35)+(Assets!N111*0.07)))</f>
        <v>1.4704999999999998E-2</v>
      </c>
      <c r="E110" s="12">
        <f t="shared" si="2"/>
        <v>2.0636473641459632</v>
      </c>
      <c r="F110" s="10">
        <f t="shared" si="3"/>
        <v>2.094638654396408</v>
      </c>
      <c r="G110" s="12"/>
    </row>
    <row r="111" spans="1:7" x14ac:dyDescent="0.35">
      <c r="A111" s="4">
        <v>45078</v>
      </c>
      <c r="B111" s="25" t="str">
        <f>'Risk Score'!F111</f>
        <v>Green</v>
      </c>
      <c r="C111" s="14">
        <f>(Assets!C112*0.35)+(Assets!E112*0.15)+(Assets!G112*0.1)+(Assets!J112*0.05)+(Assets!L112*0.2)+(Assets!N112*0.05)</f>
        <v>1.6609999999999996E-2</v>
      </c>
      <c r="D111" s="14">
        <f>IF(B111="Green",
(Assets!C112*0.35)+(Assets!E112*0.15)+(Assets!G112*0.1)+(Assets!J112*0.15)+(Assets!L112*0.2)+(Assets!N112*0.05),
IF(B111="Amber",
(Assets!C112*0.3)+(Assets!E112*0.12)+(Assets!G112*0.09)+(Assets!J112*0.17)+(Assets!L112*0.25)+(Assets!N112*0.07),
(Assets!C112*0.15)+(Assets!E112*0.03)+(Assets!G112*0.07)+(Assets!J112*0.33)+(Assets!L112*0.35)+(Assets!N112*0.07)))</f>
        <v>1.3049999999999996E-2</v>
      </c>
      <c r="E111" s="12">
        <f t="shared" si="2"/>
        <v>2.0979245468644279</v>
      </c>
      <c r="F111" s="10">
        <f t="shared" si="3"/>
        <v>2.121973688836281</v>
      </c>
      <c r="G111" s="12"/>
    </row>
    <row r="112" spans="1:7" x14ac:dyDescent="0.35">
      <c r="A112" s="4">
        <v>45108</v>
      </c>
      <c r="B112" s="25" t="str">
        <f>'Risk Score'!F112</f>
        <v>Green</v>
      </c>
      <c r="C112" s="14">
        <f>(Assets!C113*0.35)+(Assets!E113*0.15)+(Assets!G113*0.1)+(Assets!J113*0.05)+(Assets!L113*0.2)+(Assets!N113*0.05)</f>
        <v>1.7759999999999998E-2</v>
      </c>
      <c r="D112" s="14">
        <f>IF(B112="Green",
(Assets!C113*0.35)+(Assets!E113*0.15)+(Assets!G113*0.1)+(Assets!J113*0.15)+(Assets!L113*0.2)+(Assets!N113*0.05),
IF(B112="Amber",
(Assets!C113*0.3)+(Assets!E113*0.12)+(Assets!G113*0.09)+(Assets!J113*0.17)+(Assets!L113*0.25)+(Assets!N113*0.07),
(Assets!C113*0.15)+(Assets!E113*0.03)+(Assets!G113*0.07)+(Assets!J113*0.33)+(Assets!L113*0.35)+(Assets!N113*0.07)))</f>
        <v>2.0499999999999997E-2</v>
      </c>
      <c r="E112" s="12">
        <f t="shared" si="2"/>
        <v>2.13518368681674</v>
      </c>
      <c r="F112" s="10">
        <f t="shared" si="3"/>
        <v>2.1654741494574248</v>
      </c>
      <c r="G112" s="12"/>
    </row>
    <row r="113" spans="1:7" x14ac:dyDescent="0.35">
      <c r="A113" s="4">
        <v>45139</v>
      </c>
      <c r="B113" s="25" t="str">
        <f>'Risk Score'!F113</f>
        <v>Green</v>
      </c>
      <c r="C113" s="14">
        <f>(Assets!C114*0.35)+(Assets!E114*0.15)+(Assets!G114*0.1)+(Assets!J114*0.05)+(Assets!L114*0.2)+(Assets!N114*0.05)</f>
        <v>-1.0369999999999999E-2</v>
      </c>
      <c r="D113" s="14">
        <f>IF(B113="Green",
(Assets!C114*0.35)+(Assets!E114*0.15)+(Assets!G114*0.1)+(Assets!J114*0.15)+(Assets!L114*0.2)+(Assets!N114*0.05),
IF(B113="Amber",
(Assets!C114*0.3)+(Assets!E114*0.12)+(Assets!G114*0.09)+(Assets!J114*0.17)+(Assets!L114*0.25)+(Assets!N114*0.07),
(Assets!C114*0.15)+(Assets!E114*0.03)+(Assets!G114*0.07)+(Assets!J114*0.33)+(Assets!L114*0.35)+(Assets!N114*0.07)))</f>
        <v>-1.0979999999999998E-2</v>
      </c>
      <c r="E113" s="12">
        <f t="shared" si="2"/>
        <v>2.1130418319844506</v>
      </c>
      <c r="F113" s="10">
        <f t="shared" si="3"/>
        <v>2.1416972432963823</v>
      </c>
      <c r="G113" s="12"/>
    </row>
    <row r="114" spans="1:7" x14ac:dyDescent="0.35">
      <c r="A114" s="4">
        <v>45170</v>
      </c>
      <c r="B114" s="25" t="str">
        <f>'Risk Score'!F114</f>
        <v>Green</v>
      </c>
      <c r="C114" s="14">
        <f>(Assets!C115*0.35)+(Assets!E115*0.15)+(Assets!G115*0.1)+(Assets!J115*0.05)+(Assets!L115*0.2)+(Assets!N115*0.05)</f>
        <v>1.1379999999999999E-2</v>
      </c>
      <c r="D114" s="14">
        <f>IF(B114="Green",
(Assets!C115*0.35)+(Assets!E115*0.15)+(Assets!G115*0.1)+(Assets!J115*0.15)+(Assets!L115*0.2)+(Assets!N115*0.05),
IF(B114="Amber",
(Assets!C115*0.3)+(Assets!E115*0.12)+(Assets!G115*0.09)+(Assets!J115*0.17)+(Assets!L115*0.25)+(Assets!N115*0.07),
(Assets!C115*0.15)+(Assets!E115*0.03)+(Assets!G115*0.07)+(Assets!J115*0.33)+(Assets!L115*0.35)+(Assets!N115*0.07)))</f>
        <v>9.2700000000000005E-3</v>
      </c>
      <c r="E114" s="12">
        <f t="shared" si="2"/>
        <v>2.1370882480324336</v>
      </c>
      <c r="F114" s="10">
        <f t="shared" si="3"/>
        <v>2.1615507767417395</v>
      </c>
      <c r="G114" s="12"/>
    </row>
    <row r="115" spans="1:7" x14ac:dyDescent="0.35">
      <c r="A115" s="4">
        <v>45200</v>
      </c>
      <c r="B115" s="25" t="str">
        <f>'Risk Score'!F115</f>
        <v>Green</v>
      </c>
      <c r="C115" s="14">
        <f>(Assets!C116*0.35)+(Assets!E116*0.15)+(Assets!G116*0.1)+(Assets!J116*0.05)+(Assets!L116*0.2)+(Assets!N116*0.05)</f>
        <v>-1.2704999999999998E-2</v>
      </c>
      <c r="D115" s="14">
        <f>IF(B115="Green",
(Assets!C116*0.35)+(Assets!E116*0.15)+(Assets!G116*0.1)+(Assets!J116*0.15)+(Assets!L116*0.2)+(Assets!N116*0.05),
IF(B115="Amber",
(Assets!C116*0.3)+(Assets!E116*0.12)+(Assets!G116*0.09)+(Assets!J116*0.17)+(Assets!L116*0.25)+(Assets!N116*0.07),
(Assets!C116*0.15)+(Assets!E116*0.03)+(Assets!G116*0.07)+(Assets!J116*0.33)+(Assets!L116*0.35)+(Assets!N116*0.07)))</f>
        <v>-7.0849999999999975E-3</v>
      </c>
      <c r="E115" s="12">
        <f t="shared" si="2"/>
        <v>2.1099365418411815</v>
      </c>
      <c r="F115" s="10">
        <f t="shared" si="3"/>
        <v>2.146236189488524</v>
      </c>
      <c r="G115" s="12"/>
    </row>
    <row r="116" spans="1:7" x14ac:dyDescent="0.35">
      <c r="A116" s="4">
        <v>45231</v>
      </c>
      <c r="B116" s="25" t="str">
        <f>'Risk Score'!F116</f>
        <v>Green</v>
      </c>
      <c r="C116" s="14">
        <f>(Assets!C117*0.35)+(Assets!E117*0.15)+(Assets!G117*0.1)+(Assets!J117*0.05)+(Assets!L117*0.2)+(Assets!N117*0.05)</f>
        <v>3.0734999999999991E-2</v>
      </c>
      <c r="D116" s="14">
        <f>IF(B116="Green",
(Assets!C117*0.35)+(Assets!E117*0.15)+(Assets!G117*0.1)+(Assets!J117*0.15)+(Assets!L117*0.2)+(Assets!N117*0.05),
IF(B116="Amber",
(Assets!C117*0.3)+(Assets!E117*0.12)+(Assets!G117*0.09)+(Assets!J117*0.17)+(Assets!L117*0.25)+(Assets!N117*0.07),
(Assets!C117*0.15)+(Assets!E117*0.03)+(Assets!G117*0.07)+(Assets!J117*0.33)+(Assets!L117*0.35)+(Assets!N117*0.07)))</f>
        <v>3.2824999999999986E-2</v>
      </c>
      <c r="E116" s="12">
        <f t="shared" si="2"/>
        <v>2.1747854414546701</v>
      </c>
      <c r="F116" s="10">
        <f t="shared" si="3"/>
        <v>2.2166863924084845</v>
      </c>
      <c r="G116" s="12"/>
    </row>
    <row r="117" spans="1:7" x14ac:dyDescent="0.35">
      <c r="A117" s="4">
        <v>45261</v>
      </c>
      <c r="B117" s="25" t="str">
        <f>'Risk Score'!F117</f>
        <v>Green</v>
      </c>
      <c r="C117" s="14">
        <f>(Assets!C118*0.35)+(Assets!E118*0.15)+(Assets!G118*0.1)+(Assets!J118*0.05)+(Assets!L118*0.2)+(Assets!N118*0.05)</f>
        <v>4.7184999999999998E-2</v>
      </c>
      <c r="D117" s="14">
        <f>IF(B117="Green",
(Assets!C118*0.35)+(Assets!E118*0.15)+(Assets!G118*0.1)+(Assets!J118*0.15)+(Assets!L118*0.2)+(Assets!N118*0.05),
IF(B117="Amber",
(Assets!C118*0.3)+(Assets!E118*0.12)+(Assets!G118*0.09)+(Assets!J118*0.17)+(Assets!L118*0.25)+(Assets!N118*0.07),
(Assets!C118*0.15)+(Assets!E118*0.03)+(Assets!G118*0.07)+(Assets!J118*0.33)+(Assets!L118*0.35)+(Assets!N118*0.07)))</f>
        <v>4.8144999999999993E-2</v>
      </c>
      <c r="E117" s="12">
        <f t="shared" si="2"/>
        <v>2.2774026925097086</v>
      </c>
      <c r="F117" s="10">
        <f t="shared" si="3"/>
        <v>2.3234087587709906</v>
      </c>
      <c r="G117" s="12"/>
    </row>
    <row r="118" spans="1:7" x14ac:dyDescent="0.35">
      <c r="A118" s="4">
        <v>45292</v>
      </c>
      <c r="B118" s="25" t="str">
        <f>'Risk Score'!F118</f>
        <v>Green</v>
      </c>
      <c r="C118" s="14">
        <f>(Assets!C119*0.35)+(Assets!E119*0.15)+(Assets!G119*0.1)+(Assets!J119*0.05)+(Assets!L119*0.2)+(Assets!N119*0.05)</f>
        <v>-5.3149999999999994E-3</v>
      </c>
      <c r="D118" s="14">
        <f>IF(B118="Green",
(Assets!C119*0.35)+(Assets!E119*0.15)+(Assets!G119*0.1)+(Assets!J119*0.15)+(Assets!L119*0.2)+(Assets!N119*0.05),
IF(B118="Amber",
(Assets!C119*0.3)+(Assets!E119*0.12)+(Assets!G119*0.09)+(Assets!J119*0.17)+(Assets!L119*0.25)+(Assets!N119*0.07),
(Assets!C119*0.15)+(Assets!E119*0.03)+(Assets!G119*0.07)+(Assets!J119*0.33)+(Assets!L119*0.35)+(Assets!N119*0.07)))</f>
        <v>-5.8949999999999992E-3</v>
      </c>
      <c r="E118" s="12">
        <f t="shared" si="2"/>
        <v>2.2652982971990197</v>
      </c>
      <c r="F118" s="10">
        <f t="shared" si="3"/>
        <v>2.3097122641380357</v>
      </c>
      <c r="G118" s="12"/>
    </row>
    <row r="119" spans="1:7" x14ac:dyDescent="0.35">
      <c r="A119" s="4">
        <v>45323</v>
      </c>
      <c r="B119" s="25" t="str">
        <f>'Risk Score'!F119</f>
        <v>Green</v>
      </c>
      <c r="C119" s="14">
        <f>(Assets!C120*0.35)+(Assets!E120*0.15)+(Assets!G120*0.1)+(Assets!J120*0.05)+(Assets!L120*0.2)+(Assets!N120*0.05)</f>
        <v>4.9950000000000003E-3</v>
      </c>
      <c r="D119" s="14">
        <f>IF(B119="Green",
(Assets!C120*0.35)+(Assets!E120*0.15)+(Assets!G120*0.1)+(Assets!J120*0.15)+(Assets!L120*0.2)+(Assets!N120*0.05),
IF(B119="Amber",
(Assets!C120*0.3)+(Assets!E120*0.12)+(Assets!G120*0.09)+(Assets!J120*0.17)+(Assets!L120*0.25)+(Assets!N120*0.07),
(Assets!C120*0.15)+(Assets!E120*0.03)+(Assets!G120*0.07)+(Assets!J120*0.33)+(Assets!L120*0.35)+(Assets!N120*0.07)))</f>
        <v>3.9250000000000005E-3</v>
      </c>
      <c r="E119" s="12">
        <f t="shared" si="2"/>
        <v>2.276613462193529</v>
      </c>
      <c r="F119" s="10">
        <f t="shared" si="3"/>
        <v>2.3187778847747773</v>
      </c>
      <c r="G119" s="12"/>
    </row>
    <row r="120" spans="1:7" ht="15" thickBot="1" x14ac:dyDescent="0.4">
      <c r="A120" s="5">
        <v>45352</v>
      </c>
      <c r="B120" s="29" t="str">
        <f>'Risk Score'!F120</f>
        <v>Green</v>
      </c>
      <c r="C120" s="15">
        <f>(Assets!C121*0.35)+(Assets!E121*0.15)+(Assets!G121*0.1)+(Assets!J121*0.05)+(Assets!L121*0.2)+(Assets!N121*0.05)</f>
        <v>4.4449999999999976E-3</v>
      </c>
      <c r="D120" s="15">
        <f>IF(B120="Green",
(Assets!C121*0.35)+(Assets!E121*0.15)+(Assets!G121*0.1)+(Assets!J121*0.15)+(Assets!L121*0.2)+(Assets!N121*0.05),
IF(B120="Amber",
(Assets!C121*0.3)+(Assets!E121*0.12)+(Assets!G121*0.09)+(Assets!J121*0.17)+(Assets!L121*0.25)+(Assets!N121*0.07),
(Assets!C121*0.15)+(Assets!E121*0.03)+(Assets!G121*0.07)+(Assets!J121*0.33)+(Assets!L121*0.35)+(Assets!N121*0.07)))</f>
        <v>1.1704999999999997E-2</v>
      </c>
      <c r="E120" s="13">
        <f t="shared" si="2"/>
        <v>2.2867330090329792</v>
      </c>
      <c r="F120" s="146">
        <f t="shared" si="3"/>
        <v>2.3459191799160664</v>
      </c>
      <c r="G120" s="12"/>
    </row>
  </sheetData>
  <mergeCells count="3">
    <mergeCell ref="H4:I4"/>
    <mergeCell ref="H9:I9"/>
    <mergeCell ref="H15:I15"/>
  </mergeCells>
  <conditionalFormatting sqref="B1 B121:B1048576">
    <cfRule type="cellIs" dxfId="8" priority="5" operator="equal">
      <formula>"amber"</formula>
    </cfRule>
    <cfRule type="cellIs" dxfId="7" priority="6" operator="equal">
      <formula>"red"</formula>
    </cfRule>
    <cfRule type="cellIs" dxfId="6" priority="7" operator="equal">
      <formula>"green"</formula>
    </cfRule>
  </conditionalFormatting>
  <conditionalFormatting sqref="B2:B120">
    <cfRule type="cellIs" dxfId="5" priority="2" operator="equal">
      <formula>"amber"</formula>
    </cfRule>
    <cfRule type="cellIs" dxfId="4" priority="3" operator="equal">
      <formula>"red"</formula>
    </cfRule>
    <cfRule type="cellIs" dxfId="3" priority="4" operator="equal">
      <formula>"green"</formula>
    </cfRule>
  </conditionalFormatting>
  <conditionalFormatting sqref="B1:B1048576">
    <cfRule type="cellIs" dxfId="2" priority="1" operator="equal">
      <formula>"red"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40EA-1BCE-4651-B3F3-DB547769605E}">
  <dimension ref="A1:CW51"/>
  <sheetViews>
    <sheetView topLeftCell="CE1" workbookViewId="0">
      <selection activeCell="F19" sqref="F19"/>
    </sheetView>
  </sheetViews>
  <sheetFormatPr defaultRowHeight="14.5" x14ac:dyDescent="0.35"/>
  <cols>
    <col min="1" max="1" width="13.1796875" customWidth="1"/>
    <col min="2" max="2" width="12.36328125" style="1" customWidth="1"/>
    <col min="3" max="3" width="12" style="1" customWidth="1"/>
    <col min="4" max="4" width="12.6328125" style="1" customWidth="1"/>
    <col min="5" max="5" width="12.26953125" style="1" customWidth="1"/>
    <col min="6" max="6" width="11.54296875" style="1" customWidth="1"/>
    <col min="7" max="7" width="17.6328125" style="1" customWidth="1"/>
    <col min="8" max="8" width="16.90625" style="1" customWidth="1"/>
    <col min="9" max="9" width="15.36328125" style="1" customWidth="1"/>
    <col min="10" max="100" width="8.7265625" style="1"/>
  </cols>
  <sheetData>
    <row r="1" spans="1:100" x14ac:dyDescent="0.35">
      <c r="A1" s="167" t="s">
        <v>0</v>
      </c>
    </row>
    <row r="2" spans="1:100" x14ac:dyDescent="0.35">
      <c r="A2" s="168">
        <v>45383</v>
      </c>
      <c r="B2" s="1">
        <v>9.3880209989394385E-3</v>
      </c>
      <c r="C2" s="1">
        <v>1.2810466588019983E-2</v>
      </c>
      <c r="D2" s="1">
        <v>3.1404981655515044E-2</v>
      </c>
      <c r="E2" s="1">
        <v>-2.0903397009365294E-2</v>
      </c>
      <c r="F2" s="1">
        <v>5.0953705272664199E-2</v>
      </c>
      <c r="G2" s="1">
        <v>-2.2268965865787475E-2</v>
      </c>
      <c r="H2" s="1">
        <v>-5.7512117667016111E-3</v>
      </c>
      <c r="I2" s="1">
        <v>-1.1006736959271141E-2</v>
      </c>
      <c r="J2" s="1">
        <v>3.0942030056643442E-3</v>
      </c>
      <c r="K2" s="1">
        <v>-4.7047729320547252E-2</v>
      </c>
      <c r="L2" s="1">
        <v>3.178579879111082E-2</v>
      </c>
      <c r="M2" s="1">
        <v>-9.966043576044277E-2</v>
      </c>
      <c r="N2" s="1">
        <v>2.1393382917844561E-3</v>
      </c>
      <c r="O2" s="1">
        <v>6.9427740002414112E-2</v>
      </c>
      <c r="P2" s="1">
        <v>-6.8370762567186022E-4</v>
      </c>
      <c r="Q2" s="1">
        <v>-3.1323251543662695E-2</v>
      </c>
      <c r="R2" s="1">
        <v>-1.686259747810176E-2</v>
      </c>
      <c r="S2" s="1">
        <v>-1.3466961146213839E-2</v>
      </c>
      <c r="T2" s="1">
        <v>5.212963939815024E-2</v>
      </c>
      <c r="U2" s="1">
        <v>4.2925652456352575E-2</v>
      </c>
      <c r="V2" s="1">
        <v>-1.6232561177249426E-2</v>
      </c>
      <c r="W2" s="1">
        <v>1.8498643049394935E-2</v>
      </c>
      <c r="X2" s="1">
        <v>-3.8236322984301407E-2</v>
      </c>
      <c r="Y2" s="1">
        <v>7.3579728078912417E-3</v>
      </c>
      <c r="Z2" s="1">
        <v>1.5030007481832331E-2</v>
      </c>
      <c r="AA2" s="1">
        <v>2.5401745481495375E-2</v>
      </c>
      <c r="AB2" s="1">
        <v>5.9862945334945884E-3</v>
      </c>
      <c r="AC2" s="1">
        <v>-5.3754819392870315E-2</v>
      </c>
      <c r="AD2" s="1">
        <v>5.9269353474626571E-2</v>
      </c>
      <c r="AE2" s="1">
        <v>-1.1062766205015236E-2</v>
      </c>
      <c r="AF2" s="1">
        <v>3.074172601169484E-2</v>
      </c>
      <c r="AG2" s="1">
        <v>3.5151639446218178E-3</v>
      </c>
      <c r="AH2" s="1">
        <v>2.1667531730168853E-2</v>
      </c>
      <c r="AI2" s="1">
        <v>7.7163616972004537E-2</v>
      </c>
      <c r="AJ2" s="1">
        <v>3.4792797028849298E-2</v>
      </c>
      <c r="AK2" s="1">
        <v>-1.6869862173551527E-2</v>
      </c>
      <c r="AL2" s="1">
        <v>1.5856287204958363E-2</v>
      </c>
      <c r="AM2" s="1">
        <v>1.3524221101980687E-2</v>
      </c>
      <c r="AN2" s="1">
        <v>1.0759115990043656E-2</v>
      </c>
      <c r="AO2" s="1">
        <v>-5.8094338969613524E-2</v>
      </c>
      <c r="AP2" s="1">
        <v>7.449920898210162E-2</v>
      </c>
      <c r="AQ2" s="1">
        <v>4.2482287501146576E-2</v>
      </c>
      <c r="AR2" s="1">
        <v>2.2175587822214647E-2</v>
      </c>
      <c r="AS2" s="1">
        <v>-1.4492132840133329E-2</v>
      </c>
      <c r="AT2" s="1">
        <v>-6.724835089998818E-2</v>
      </c>
      <c r="AU2" s="1">
        <v>-1.1631939131734739E-2</v>
      </c>
      <c r="AV2" s="1">
        <v>4.5600406414104774E-2</v>
      </c>
      <c r="AW2" s="1">
        <v>1.0376180735072859E-2</v>
      </c>
      <c r="AX2" s="1">
        <v>4.8353476346607832E-2</v>
      </c>
      <c r="AY2" s="1">
        <v>-1.4818037627624361E-2</v>
      </c>
      <c r="AZ2" s="1">
        <v>1.0810462937712526E-3</v>
      </c>
      <c r="BA2" s="1">
        <v>-2.0969257760314015E-2</v>
      </c>
      <c r="BB2" s="1">
        <v>-6.9930243663798054E-3</v>
      </c>
      <c r="BC2" s="1">
        <v>-2.6536989955656762E-2</v>
      </c>
      <c r="BD2" s="1">
        <v>-3.0070406658200325E-2</v>
      </c>
      <c r="BE2" s="1">
        <v>-2.4077839691367033E-2</v>
      </c>
      <c r="BF2" s="1">
        <v>-5.5367522585867801E-2</v>
      </c>
      <c r="BG2" s="1">
        <v>-4.9822643157533611E-3</v>
      </c>
      <c r="BH2" s="1">
        <v>3.0457770614842714E-2</v>
      </c>
      <c r="BI2" s="1">
        <v>-3.8465451331411951E-2</v>
      </c>
      <c r="BJ2" s="1">
        <v>-3.0052881175614162E-2</v>
      </c>
      <c r="BK2" s="1">
        <v>-1.4590303215086781E-2</v>
      </c>
      <c r="BL2" s="1">
        <v>-7.059262997314188E-3</v>
      </c>
      <c r="BM2" s="1">
        <v>4.148246405856118E-2</v>
      </c>
      <c r="BN2" s="1">
        <v>-3.8428903748653098E-2</v>
      </c>
      <c r="BO2" s="1">
        <v>0.1087132685258498</v>
      </c>
      <c r="BP2" s="1">
        <v>7.3770663275581419E-3</v>
      </c>
      <c r="BQ2" s="1">
        <v>1.5911425177559006E-2</v>
      </c>
      <c r="BR2" s="1">
        <v>5.018190215523971E-2</v>
      </c>
      <c r="BS2" s="1">
        <v>-3.7664177301392453E-3</v>
      </c>
      <c r="BT2" s="1">
        <v>-1.722904842686096E-2</v>
      </c>
      <c r="BU2" s="1">
        <v>1.7391017623975089E-2</v>
      </c>
      <c r="BV2" s="1">
        <v>4.5592369519425677E-2</v>
      </c>
      <c r="BW2" s="1">
        <v>-2.0172306243922612E-2</v>
      </c>
      <c r="BX2" s="1">
        <v>-2.0034360035642063E-2</v>
      </c>
      <c r="BY2" s="1">
        <v>2.094924730426247E-2</v>
      </c>
      <c r="BZ2" s="1">
        <v>2.1241959725453868E-2</v>
      </c>
      <c r="CA2" s="1">
        <v>5.9038531910449261E-3</v>
      </c>
      <c r="CB2" s="1">
        <v>5.5134594314410632E-2</v>
      </c>
      <c r="CC2" s="1">
        <v>-7.3413152432331541E-2</v>
      </c>
      <c r="CD2" s="1">
        <v>8.1687363252891925E-3</v>
      </c>
      <c r="CE2" s="1">
        <v>9.6882808648549409E-2</v>
      </c>
      <c r="CF2" s="1">
        <v>8.5256788430974367E-2</v>
      </c>
      <c r="CG2" s="1">
        <v>7.2142571552813693E-3</v>
      </c>
      <c r="CH2" s="1">
        <v>-1.8625638816183582E-2</v>
      </c>
      <c r="CI2" s="1">
        <v>2.1356539540752818E-2</v>
      </c>
      <c r="CJ2" s="1">
        <v>3.4789260282876586E-2</v>
      </c>
      <c r="CK2" s="1">
        <v>-3.1892763485771011E-2</v>
      </c>
      <c r="CL2" s="1">
        <v>5.7035782931016632E-2</v>
      </c>
      <c r="CM2" s="1">
        <v>2.155775726356848E-2</v>
      </c>
      <c r="CN2" s="1">
        <v>4.8337117876018397E-3</v>
      </c>
      <c r="CO2" s="1">
        <v>4.4421435314899033E-3</v>
      </c>
      <c r="CP2" s="1">
        <v>-3.0347661309447087E-2</v>
      </c>
      <c r="CQ2" s="1">
        <v>4.8439606181415129E-2</v>
      </c>
      <c r="CR2" s="1">
        <v>2.1363038060477069E-2</v>
      </c>
      <c r="CS2" s="1">
        <v>2.8061784947780975E-2</v>
      </c>
      <c r="CT2" s="1">
        <v>-5.6554402372741716E-2</v>
      </c>
      <c r="CU2" s="1">
        <v>5.3290594660539148E-2</v>
      </c>
      <c r="CV2">
        <v>2.5235797598943274E-2</v>
      </c>
    </row>
    <row r="3" spans="1:100" x14ac:dyDescent="0.35">
      <c r="A3" s="168">
        <v>45413</v>
      </c>
      <c r="B3" s="1">
        <v>1.5244410943001321E-2</v>
      </c>
      <c r="C3" s="1">
        <v>1.190866045078149E-2</v>
      </c>
      <c r="D3" s="1">
        <v>-5.4527092815936061E-3</v>
      </c>
      <c r="E3" s="1">
        <v>5.1420598870988744E-3</v>
      </c>
      <c r="F3" s="1">
        <v>-9.4994683800341054E-2</v>
      </c>
      <c r="G3" s="1">
        <v>1.4176263785055376E-3</v>
      </c>
      <c r="H3" s="1">
        <v>4.4751501816993888E-2</v>
      </c>
      <c r="I3" s="1">
        <v>-2.1204918811819365E-2</v>
      </c>
      <c r="J3" s="1">
        <v>-3.8654354284986935E-3</v>
      </c>
      <c r="K3" s="1">
        <v>-4.3763468877142817E-2</v>
      </c>
      <c r="L3" s="1">
        <v>2.1423667206601674E-2</v>
      </c>
      <c r="M3" s="1">
        <v>-1.8731504482052286E-2</v>
      </c>
      <c r="N3" s="1">
        <v>8.2684079409027361E-2</v>
      </c>
      <c r="O3" s="1">
        <v>1.3604988424953605E-2</v>
      </c>
      <c r="P3" s="1">
        <v>-1.8636247652664008E-2</v>
      </c>
      <c r="Q3" s="1">
        <v>-1.7490276975144596E-3</v>
      </c>
      <c r="R3" s="1">
        <v>-3.0312480582021854E-2</v>
      </c>
      <c r="S3" s="1">
        <v>2.3260680215879244E-2</v>
      </c>
      <c r="T3" s="1">
        <v>-4.7630012269733693E-2</v>
      </c>
      <c r="U3" s="1">
        <v>2.0062494545111272E-2</v>
      </c>
      <c r="V3" s="1">
        <v>-3.8861782412507151E-2</v>
      </c>
      <c r="W3" s="1">
        <v>5.6693462940672831E-2</v>
      </c>
      <c r="X3" s="1">
        <v>1.0111752957298855E-2</v>
      </c>
      <c r="Y3" s="1">
        <v>4.278543642232159E-4</v>
      </c>
      <c r="Z3" s="1">
        <v>7.4504678043268253E-3</v>
      </c>
      <c r="AA3" s="1">
        <v>-5.430896569691564E-3</v>
      </c>
      <c r="AB3" s="1">
        <v>-5.7188029582603134E-3</v>
      </c>
      <c r="AC3" s="1">
        <v>4.5568024089935696E-2</v>
      </c>
      <c r="AD3" s="1">
        <v>2.1856024147809535E-3</v>
      </c>
      <c r="AE3" s="1">
        <v>2.0220249003640292E-2</v>
      </c>
      <c r="AF3" s="1">
        <v>-1.7379341444911472E-2</v>
      </c>
      <c r="AG3" s="1">
        <v>6.7427187472447081E-2</v>
      </c>
      <c r="AH3" s="1">
        <v>4.0270665297012578E-2</v>
      </c>
      <c r="AI3" s="1">
        <v>-3.415158333198564E-4</v>
      </c>
      <c r="AJ3" s="1">
        <v>4.2628923525289811E-2</v>
      </c>
      <c r="AK3" s="1">
        <v>8.13850928589855E-3</v>
      </c>
      <c r="AL3" s="1">
        <v>-4.2960447043839403E-2</v>
      </c>
      <c r="AM3" s="1">
        <v>4.6695374383743049E-2</v>
      </c>
      <c r="AN3" s="1">
        <v>1.9120741403288961E-2</v>
      </c>
      <c r="AO3" s="1">
        <v>4.7556755535391095E-4</v>
      </c>
      <c r="AP3" s="1">
        <v>-1.212175429300295E-2</v>
      </c>
      <c r="AQ3" s="1">
        <v>2.4938342626568202E-2</v>
      </c>
      <c r="AR3" s="1">
        <v>7.6859425538391302E-3</v>
      </c>
      <c r="AS3" s="1">
        <v>-5.5551982065774469E-2</v>
      </c>
      <c r="AT3" s="1">
        <v>4.2151075771251933E-2</v>
      </c>
      <c r="AU3" s="1">
        <v>2.1097674022152412E-2</v>
      </c>
      <c r="AV3" s="1">
        <v>1.8896009602203901E-3</v>
      </c>
      <c r="AW3" s="1">
        <v>3.2269655874478803E-2</v>
      </c>
      <c r="AX3" s="1">
        <v>2.2014707882007989E-2</v>
      </c>
      <c r="AY3" s="1">
        <v>-4.1071075373412647E-2</v>
      </c>
      <c r="AZ3" s="1">
        <v>-1.8043374074495307E-2</v>
      </c>
      <c r="BA3" s="1">
        <v>4.7246020374216033E-2</v>
      </c>
      <c r="BB3" s="1">
        <v>1.3751546038459468E-2</v>
      </c>
      <c r="BC3" s="1">
        <v>-3.8691952159612977E-2</v>
      </c>
      <c r="BD3" s="1">
        <v>9.5086665864535739E-3</v>
      </c>
      <c r="BE3" s="1">
        <v>-5.6226505151873458E-3</v>
      </c>
      <c r="BF3" s="1">
        <v>7.2300110731595132E-2</v>
      </c>
      <c r="BG3" s="1">
        <v>5.824462860609024E-3</v>
      </c>
      <c r="BH3" s="1">
        <v>1.9407972247766518E-2</v>
      </c>
      <c r="BI3" s="1">
        <v>-4.3191424419930357E-3</v>
      </c>
      <c r="BJ3" s="1">
        <v>-2.1544398604418626E-2</v>
      </c>
      <c r="BK3" s="1">
        <v>8.4890262508867231E-3</v>
      </c>
      <c r="BL3" s="1">
        <v>2.1521231445086341E-2</v>
      </c>
      <c r="BM3" s="1">
        <v>4.7977319023453967E-3</v>
      </c>
      <c r="BN3" s="1">
        <v>6.1168500465711484E-2</v>
      </c>
      <c r="BO3" s="1">
        <v>3.3483656420333657E-2</v>
      </c>
      <c r="BP3" s="1">
        <v>2.9529051966754434E-2</v>
      </c>
      <c r="BQ3" s="1">
        <v>2.1238340020268885E-2</v>
      </c>
      <c r="BR3" s="1">
        <v>6.3299897144901661E-3</v>
      </c>
      <c r="BS3" s="1">
        <v>-2.6276064329895616E-2</v>
      </c>
      <c r="BT3" s="1">
        <v>1.4779945408862032E-2</v>
      </c>
      <c r="BU3" s="1">
        <v>7.2834943145130464E-3</v>
      </c>
      <c r="BV3" s="1">
        <v>6.7005732346273966E-2</v>
      </c>
      <c r="BW3" s="1">
        <v>-3.99625223174708E-2</v>
      </c>
      <c r="BX3" s="1">
        <v>1.6707677634214615E-2</v>
      </c>
      <c r="BY3" s="1">
        <v>3.8734651754886107E-2</v>
      </c>
      <c r="BZ3" s="1">
        <v>8.3063376492066698E-3</v>
      </c>
      <c r="CA3" s="1">
        <v>2.4956760708605679E-4</v>
      </c>
      <c r="CB3" s="1">
        <v>3.1346030446374087E-2</v>
      </c>
      <c r="CC3" s="1">
        <v>-4.6835869022811227E-2</v>
      </c>
      <c r="CD3" s="1">
        <v>-4.0513395390732482E-2</v>
      </c>
      <c r="CE3" s="1">
        <v>3.9956879180670576E-3</v>
      </c>
      <c r="CF3" s="1">
        <v>7.9551466968215176E-2</v>
      </c>
      <c r="CG3" s="1">
        <v>7.8183381653441405E-3</v>
      </c>
      <c r="CH3" s="1">
        <v>3.0274688575209759E-2</v>
      </c>
      <c r="CI3" s="1">
        <v>-2.3294481539175856E-2</v>
      </c>
      <c r="CJ3" s="1">
        <v>-4.7546087992839207E-3</v>
      </c>
      <c r="CK3" s="1">
        <v>-9.6055229247987775E-3</v>
      </c>
      <c r="CL3" s="1">
        <v>1.053056435564452E-2</v>
      </c>
      <c r="CM3" s="1">
        <v>-1.657317242138847E-2</v>
      </c>
      <c r="CN3" s="1">
        <v>-2.1231016575442629E-2</v>
      </c>
      <c r="CO3" s="1">
        <v>8.0632000108370409E-3</v>
      </c>
      <c r="CP3" s="1">
        <v>2.7100541659370168E-2</v>
      </c>
      <c r="CQ3" s="1">
        <v>7.2396005352121415E-2</v>
      </c>
      <c r="CR3" s="1">
        <v>3.4318810634454855E-2</v>
      </c>
      <c r="CS3" s="1">
        <v>-2.4403178466484748E-2</v>
      </c>
      <c r="CT3" s="1">
        <v>8.771603140922915E-3</v>
      </c>
      <c r="CU3" s="1">
        <v>5.7455360200222544E-2</v>
      </c>
      <c r="CV3">
        <v>-4.3619440797507292E-2</v>
      </c>
    </row>
    <row r="4" spans="1:100" x14ac:dyDescent="0.35">
      <c r="A4" s="168">
        <v>45444</v>
      </c>
      <c r="B4" s="1">
        <v>1.1069398540377844E-2</v>
      </c>
      <c r="C4" s="1">
        <v>6.1126857837055029E-2</v>
      </c>
      <c r="D4" s="1">
        <v>2.4612070094814212E-2</v>
      </c>
      <c r="E4" s="1">
        <v>3.7688571494602571E-2</v>
      </c>
      <c r="F4" s="1">
        <v>-4.329821215891666E-2</v>
      </c>
      <c r="G4" s="1">
        <v>-1.1820141177141318E-2</v>
      </c>
      <c r="H4" s="1">
        <v>1.2881279577189795E-2</v>
      </c>
      <c r="I4" s="1">
        <v>5.1019025243889821E-2</v>
      </c>
      <c r="J4" s="1">
        <v>5.5464013476239291E-2</v>
      </c>
      <c r="K4" s="1">
        <v>4.7259206347099098E-2</v>
      </c>
      <c r="L4" s="1">
        <v>-3.7164818536950611E-2</v>
      </c>
      <c r="M4" s="1">
        <v>-3.988374986319862E-2</v>
      </c>
      <c r="N4" s="1">
        <v>1.8162991363873022E-2</v>
      </c>
      <c r="O4" s="1">
        <v>-1.4783544368962637E-2</v>
      </c>
      <c r="P4" s="1">
        <v>-2.5492241492641388E-2</v>
      </c>
      <c r="Q4" s="1">
        <v>1.4004767406754569E-2</v>
      </c>
      <c r="R4" s="1">
        <v>-1.152535397982633E-2</v>
      </c>
      <c r="S4" s="1">
        <v>-1.8442392259010808E-2</v>
      </c>
      <c r="T4" s="1">
        <v>3.9483176595532576E-2</v>
      </c>
      <c r="U4" s="1">
        <v>4.589623715995883E-2</v>
      </c>
      <c r="V4" s="1">
        <v>-2.3657386689548417E-2</v>
      </c>
      <c r="W4" s="1">
        <v>4.202779306072639E-2</v>
      </c>
      <c r="X4" s="1">
        <v>-3.2722532659192043E-3</v>
      </c>
      <c r="Y4" s="1">
        <v>-2.4944015146604565E-2</v>
      </c>
      <c r="Z4" s="1">
        <v>2.6124357549299978E-2</v>
      </c>
      <c r="AA4" s="1">
        <v>1.1872208364387238E-2</v>
      </c>
      <c r="AB4" s="1">
        <v>8.4753168840479981E-3</v>
      </c>
      <c r="AC4" s="1">
        <v>-1.5134951133731606E-2</v>
      </c>
      <c r="AD4" s="1">
        <v>2.6187300978406949E-2</v>
      </c>
      <c r="AE4" s="1">
        <v>9.0379276183013106E-3</v>
      </c>
      <c r="AF4" s="1">
        <v>-9.7753874181793383E-3</v>
      </c>
      <c r="AG4" s="1">
        <v>-2.4109454989122012E-2</v>
      </c>
      <c r="AH4" s="1">
        <v>7.5528431154991841E-3</v>
      </c>
      <c r="AI4" s="1">
        <v>-4.59795952320768E-2</v>
      </c>
      <c r="AJ4" s="1">
        <v>1.4662250009828359E-2</v>
      </c>
      <c r="AK4" s="1">
        <v>-1.560525609964309E-2</v>
      </c>
      <c r="AL4" s="1">
        <v>4.0692710720868192E-2</v>
      </c>
      <c r="AM4" s="1">
        <v>-7.6914296419615946E-3</v>
      </c>
      <c r="AN4" s="1">
        <v>8.8895133834758933E-3</v>
      </c>
      <c r="AO4" s="1">
        <v>-2.7731624401400309E-2</v>
      </c>
      <c r="AP4" s="1">
        <v>1.0797274766422511E-2</v>
      </c>
      <c r="AQ4" s="1">
        <v>-2.8495670821682941E-2</v>
      </c>
      <c r="AR4" s="1">
        <v>-1.1146246220209068E-2</v>
      </c>
      <c r="AS4" s="1">
        <v>-4.5562084578890827E-2</v>
      </c>
      <c r="AT4" s="1">
        <v>2.2109943778360095E-2</v>
      </c>
      <c r="AU4" s="1">
        <v>1.9065416136992381E-2</v>
      </c>
      <c r="AV4" s="1">
        <v>-1.1388973175814172E-2</v>
      </c>
      <c r="AW4" s="1">
        <v>1.7877077819840437E-2</v>
      </c>
      <c r="AX4" s="1">
        <v>3.2973405849365985E-2</v>
      </c>
      <c r="AY4" s="1">
        <v>3.0624034786023827E-2</v>
      </c>
      <c r="AZ4" s="1">
        <v>4.3030849318668685E-2</v>
      </c>
      <c r="BA4" s="1">
        <v>8.3425186263729485E-3</v>
      </c>
      <c r="BB4" s="1">
        <v>-6.7764529154584335E-2</v>
      </c>
      <c r="BC4" s="1">
        <v>2.634415689462527E-2</v>
      </c>
      <c r="BD4" s="1">
        <v>-1.6928213886507414E-2</v>
      </c>
      <c r="BE4" s="1">
        <v>6.0280730628232762E-3</v>
      </c>
      <c r="BF4" s="1">
        <v>1.4422887015650662E-2</v>
      </c>
      <c r="BG4" s="1">
        <v>1.5347907082834511E-2</v>
      </c>
      <c r="BH4" s="1">
        <v>2.2542084585012716E-2</v>
      </c>
      <c r="BI4" s="1">
        <v>2.8012964710373785E-2</v>
      </c>
      <c r="BJ4" s="1">
        <v>4.9075444333024493E-2</v>
      </c>
      <c r="BK4" s="1">
        <v>3.8817682292395392E-2</v>
      </c>
      <c r="BL4" s="1">
        <v>7.4463652852007636E-2</v>
      </c>
      <c r="BM4" s="1">
        <v>2.3752972715739975E-2</v>
      </c>
      <c r="BN4" s="1">
        <v>4.6413853801821794E-2</v>
      </c>
      <c r="BO4" s="1">
        <v>2.7884298746022142E-2</v>
      </c>
      <c r="BP4" s="1">
        <v>2.5167201557334144E-2</v>
      </c>
      <c r="BQ4" s="1">
        <v>-2.6886580454381057E-2</v>
      </c>
      <c r="BR4" s="1">
        <v>5.3314544421054363E-2</v>
      </c>
      <c r="BS4" s="1">
        <v>4.204917980116317E-2</v>
      </c>
      <c r="BT4" s="1">
        <v>6.0375711787745645E-2</v>
      </c>
      <c r="BU4" s="1">
        <v>-2.0031165709546807E-2</v>
      </c>
      <c r="BV4" s="1">
        <v>5.5573210081798566E-2</v>
      </c>
      <c r="BW4" s="1">
        <v>2.8118530224132254E-2</v>
      </c>
      <c r="BX4" s="1">
        <v>-8.0521915249685879E-3</v>
      </c>
      <c r="BY4" s="1">
        <v>-9.8245447083571379E-3</v>
      </c>
      <c r="BZ4" s="1">
        <v>1.4615000970006876E-2</v>
      </c>
      <c r="CA4" s="1">
        <v>1.1533868435753783E-2</v>
      </c>
      <c r="CB4" s="1">
        <v>2.6091807499607492E-2</v>
      </c>
      <c r="CC4" s="1">
        <v>1.2949534928931429E-2</v>
      </c>
      <c r="CD4" s="1">
        <v>5.5948443410039031E-2</v>
      </c>
      <c r="CE4" s="1">
        <v>-3.155087160998471E-2</v>
      </c>
      <c r="CF4" s="1">
        <v>9.9283363165411087E-3</v>
      </c>
      <c r="CG4" s="1">
        <v>-1.6204609272740401E-2</v>
      </c>
      <c r="CH4" s="1">
        <v>-6.4841846687826252E-3</v>
      </c>
      <c r="CI4" s="1">
        <v>-3.3985382891570694E-3</v>
      </c>
      <c r="CJ4" s="1">
        <v>1.1338785621515576E-2</v>
      </c>
      <c r="CK4" s="1">
        <v>-1.6575738461537547E-2</v>
      </c>
      <c r="CL4" s="1">
        <v>-3.1416155465407741E-2</v>
      </c>
      <c r="CM4" s="1">
        <v>-2.2077135573285212E-2</v>
      </c>
      <c r="CN4" s="1">
        <v>-3.3497311977488384E-2</v>
      </c>
      <c r="CO4" s="1">
        <v>4.8218091208816663E-2</v>
      </c>
      <c r="CP4" s="1">
        <v>-2.9710137779332384E-2</v>
      </c>
      <c r="CQ4" s="1">
        <v>-1.4670302741646893E-2</v>
      </c>
      <c r="CR4" s="1">
        <v>-2.5290269925129765E-3</v>
      </c>
      <c r="CS4" s="1">
        <v>6.8833322120680343E-2</v>
      </c>
      <c r="CT4" s="1">
        <v>2.7906495204553933E-2</v>
      </c>
      <c r="CU4" s="1">
        <v>1.6956686476183785E-2</v>
      </c>
      <c r="CV4">
        <v>2.5820881151773487E-2</v>
      </c>
    </row>
    <row r="5" spans="1:100" x14ac:dyDescent="0.35">
      <c r="A5" s="168">
        <v>45474</v>
      </c>
      <c r="B5" s="1">
        <v>-5.1412322635243882E-2</v>
      </c>
      <c r="C5" s="1">
        <v>-1.6019360835323994E-2</v>
      </c>
      <c r="D5" s="1">
        <v>-4.2057178960936831E-2</v>
      </c>
      <c r="E5" s="1">
        <v>4.5439355251160413E-2</v>
      </c>
      <c r="F5" s="1">
        <v>5.0267936717274003E-2</v>
      </c>
      <c r="G5" s="1">
        <v>2.3428458752778086E-2</v>
      </c>
      <c r="H5" s="1">
        <v>-7.7076001192982566E-2</v>
      </c>
      <c r="I5" s="1">
        <v>-3.1301115095181443E-3</v>
      </c>
      <c r="J5" s="1">
        <v>5.6172597767360388E-2</v>
      </c>
      <c r="K5" s="1">
        <v>3.0851342874582768E-2</v>
      </c>
      <c r="L5" s="1">
        <v>1.2891125793772948E-2</v>
      </c>
      <c r="M5" s="1">
        <v>-8.0340483002432211E-3</v>
      </c>
      <c r="N5" s="1">
        <v>3.9410447152878392E-2</v>
      </c>
      <c r="O5" s="1">
        <v>1.7428302761646171E-3</v>
      </c>
      <c r="P5" s="1">
        <v>6.1579954561311306E-4</v>
      </c>
      <c r="Q5" s="1">
        <v>-1.5892738307780017E-2</v>
      </c>
      <c r="R5" s="1">
        <v>6.2810402841985621E-2</v>
      </c>
      <c r="S5" s="1">
        <v>6.2206241800594995E-3</v>
      </c>
      <c r="T5" s="1">
        <v>-1.382284651000815E-3</v>
      </c>
      <c r="U5" s="1">
        <v>2.976623474447419E-2</v>
      </c>
      <c r="V5" s="1">
        <v>-1.0129372043497696E-2</v>
      </c>
      <c r="W5" s="1">
        <v>8.0793669050522373E-3</v>
      </c>
      <c r="X5" s="1">
        <v>-1.846585110266959E-2</v>
      </c>
      <c r="Y5" s="1">
        <v>-9.475371478711643E-3</v>
      </c>
      <c r="Z5" s="1">
        <v>4.5190329916521346E-2</v>
      </c>
      <c r="AA5" s="1">
        <v>1.4053009743289335E-3</v>
      </c>
      <c r="AB5" s="1">
        <v>-1.7191289172600294E-2</v>
      </c>
      <c r="AC5" s="1">
        <v>-2.3400799151584547E-2</v>
      </c>
      <c r="AD5" s="1">
        <v>-6.6234337700668583E-2</v>
      </c>
      <c r="AE5" s="1">
        <v>-3.5799841469418961E-2</v>
      </c>
      <c r="AF5" s="1">
        <v>3.3890690505570337E-2</v>
      </c>
      <c r="AG5" s="1">
        <v>-3.2829049957170231E-2</v>
      </c>
      <c r="AH5" s="1">
        <v>4.6476050593489944E-3</v>
      </c>
      <c r="AI5" s="1">
        <v>3.5052386150598497E-2</v>
      </c>
      <c r="AJ5" s="1">
        <v>-3.5342431469360305E-3</v>
      </c>
      <c r="AK5" s="1">
        <v>2.4864131558499009E-2</v>
      </c>
      <c r="AL5" s="1">
        <v>1.1498560687737493E-2</v>
      </c>
      <c r="AM5" s="1">
        <v>7.4742161204697016E-3</v>
      </c>
      <c r="AN5" s="1">
        <v>-1.4579843772174472E-3</v>
      </c>
      <c r="AO5" s="1">
        <v>-2.4509206507209082E-2</v>
      </c>
      <c r="AP5" s="1">
        <v>9.1656433715522102E-3</v>
      </c>
      <c r="AQ5" s="1">
        <v>-1.7950511957784635E-2</v>
      </c>
      <c r="AR5" s="1">
        <v>1.4328630185178371E-2</v>
      </c>
      <c r="AS5" s="1">
        <v>3.250793510533688E-2</v>
      </c>
      <c r="AT5" s="1">
        <v>-8.1143727525206481E-3</v>
      </c>
      <c r="AU5" s="1">
        <v>-3.7130777750098931E-2</v>
      </c>
      <c r="AV5" s="1">
        <v>-6.7092925927522196E-2</v>
      </c>
      <c r="AW5" s="1">
        <v>1.4517238785109188E-2</v>
      </c>
      <c r="AX5" s="1">
        <v>-8.9360607235664906E-3</v>
      </c>
      <c r="AY5" s="1">
        <v>1.2185999516348821E-2</v>
      </c>
      <c r="AZ5" s="1">
        <v>-1.3317900514174939E-2</v>
      </c>
      <c r="BA5" s="1">
        <v>5.0819252113606425E-2</v>
      </c>
      <c r="BB5" s="1">
        <v>-6.538974880102074E-4</v>
      </c>
      <c r="BC5" s="1">
        <v>-3.4135590593060122E-2</v>
      </c>
      <c r="BD5" s="1">
        <v>1.5593378976600828E-2</v>
      </c>
      <c r="BE5" s="1">
        <v>-1.1754983299746509E-2</v>
      </c>
      <c r="BF5" s="1">
        <v>-4.6830481589071327E-2</v>
      </c>
      <c r="BG5" s="1">
        <v>1.0900768592283434E-2</v>
      </c>
      <c r="BH5" s="1">
        <v>2.6304018770437889E-2</v>
      </c>
      <c r="BI5" s="1">
        <v>-4.9794346703088532E-3</v>
      </c>
      <c r="BJ5" s="1">
        <v>2.1413050816876802E-2</v>
      </c>
      <c r="BK5" s="1">
        <v>6.4634152890781747E-3</v>
      </c>
      <c r="BL5" s="1">
        <v>-2.8731242523414826E-2</v>
      </c>
      <c r="BM5" s="1">
        <v>4.0035587576864817E-2</v>
      </c>
      <c r="BN5" s="1">
        <v>1.4822352498970555E-3</v>
      </c>
      <c r="BO5" s="1">
        <v>5.0263028544297872E-3</v>
      </c>
      <c r="BP5" s="1">
        <v>-1.473564777705768E-3</v>
      </c>
      <c r="BQ5" s="1">
        <v>2.0796107696702419E-2</v>
      </c>
      <c r="BR5" s="1">
        <v>4.2461720348042478E-2</v>
      </c>
      <c r="BS5" s="1">
        <v>-4.5901990668015188E-2</v>
      </c>
      <c r="BT5" s="1">
        <v>4.5894810930872998E-2</v>
      </c>
      <c r="BU5" s="1">
        <v>-3.4629263675369865E-2</v>
      </c>
      <c r="BV5" s="1">
        <v>-2.2999058058963323E-2</v>
      </c>
      <c r="BW5" s="1">
        <v>3.7648146003723612E-2</v>
      </c>
      <c r="BX5" s="1">
        <v>7.9800551424103069E-2</v>
      </c>
      <c r="BY5" s="1">
        <v>7.4827093165295497E-4</v>
      </c>
      <c r="BZ5" s="1">
        <v>5.392271557069335E-2</v>
      </c>
      <c r="CA5" s="1">
        <v>1.5238743468351008E-2</v>
      </c>
      <c r="CB5" s="1">
        <v>4.4690265296245035E-2</v>
      </c>
      <c r="CC5" s="1">
        <v>-7.1668873939464382E-3</v>
      </c>
      <c r="CD5" s="1">
        <v>-3.2235441804910017E-2</v>
      </c>
      <c r="CE5" s="1">
        <v>-1.6283998639440658E-2</v>
      </c>
      <c r="CF5" s="1">
        <v>4.687869523720925E-2</v>
      </c>
      <c r="CG5" s="1">
        <v>5.8633265402124567E-3</v>
      </c>
      <c r="CH5" s="1">
        <v>7.3448917256200882E-2</v>
      </c>
      <c r="CI5" s="1">
        <v>-1.7661201213423693E-2</v>
      </c>
      <c r="CJ5" s="1">
        <v>5.9231958078263702E-2</v>
      </c>
      <c r="CK5" s="1">
        <v>7.3621114440709789E-2</v>
      </c>
      <c r="CL5" s="1">
        <v>0.11103750342381272</v>
      </c>
      <c r="CM5" s="1">
        <v>3.2807570464038149E-2</v>
      </c>
      <c r="CN5" s="1">
        <v>1.7329718349236259E-2</v>
      </c>
      <c r="CO5" s="1">
        <v>1.0042706892429091E-3</v>
      </c>
      <c r="CP5" s="1">
        <v>2.2710716178178277E-2</v>
      </c>
      <c r="CQ5" s="1">
        <v>-1.9627365391422832E-2</v>
      </c>
      <c r="CR5" s="1">
        <v>-3.4569179629939453E-2</v>
      </c>
      <c r="CS5" s="1">
        <v>3.2348920602043661E-2</v>
      </c>
      <c r="CT5" s="1">
        <v>-1.050876301050107E-2</v>
      </c>
      <c r="CU5" s="1">
        <v>-3.4434103593122434E-2</v>
      </c>
      <c r="CV5">
        <v>-2.1881584637816583E-2</v>
      </c>
    </row>
    <row r="6" spans="1:100" x14ac:dyDescent="0.35">
      <c r="A6" s="168">
        <v>45505</v>
      </c>
      <c r="B6" s="1">
        <v>-6.955237497306109E-3</v>
      </c>
      <c r="C6" s="1">
        <v>4.954261901075091E-3</v>
      </c>
      <c r="D6" s="1">
        <v>5.9538447384722609E-2</v>
      </c>
      <c r="E6" s="1">
        <v>2.5237492352762441E-2</v>
      </c>
      <c r="F6" s="1">
        <v>2.9753518465077712E-2</v>
      </c>
      <c r="G6" s="1">
        <v>-1.6340807758162559E-2</v>
      </c>
      <c r="H6" s="1">
        <v>-5.961461704688048E-2</v>
      </c>
      <c r="I6" s="1">
        <v>-4.2189271075430301E-2</v>
      </c>
      <c r="J6" s="1">
        <v>7.5116233296263935E-2</v>
      </c>
      <c r="K6" s="1">
        <v>-1.1189817932979872E-2</v>
      </c>
      <c r="L6" s="1">
        <v>-1.7118334163071052E-2</v>
      </c>
      <c r="M6" s="1">
        <v>7.8307176014699269E-3</v>
      </c>
      <c r="N6" s="1">
        <v>1.6924081168094442E-2</v>
      </c>
      <c r="O6" s="1">
        <v>1.848253710988151E-2</v>
      </c>
      <c r="P6" s="1">
        <v>-4.1557338175066214E-3</v>
      </c>
      <c r="Q6" s="1">
        <v>4.8316667234097298E-3</v>
      </c>
      <c r="R6" s="1">
        <v>-9.8540590963085116E-3</v>
      </c>
      <c r="S6" s="1">
        <v>1.1695218672392284E-2</v>
      </c>
      <c r="T6" s="1">
        <v>6.6075829321530465E-3</v>
      </c>
      <c r="U6" s="1">
        <v>5.5087285139000852E-2</v>
      </c>
      <c r="V6" s="1">
        <v>2.5363042539777329E-2</v>
      </c>
      <c r="W6" s="1">
        <v>-1.7450665764239041E-2</v>
      </c>
      <c r="X6" s="1">
        <v>-2.9533363915102927E-2</v>
      </c>
      <c r="Y6" s="1">
        <v>6.2138179702610333E-2</v>
      </c>
      <c r="Z6" s="1">
        <v>1.7641047438882541E-2</v>
      </c>
      <c r="AA6" s="1">
        <v>5.1856299868177858E-2</v>
      </c>
      <c r="AB6" s="1">
        <v>2.1371005019856285E-2</v>
      </c>
      <c r="AC6" s="1">
        <v>-5.1355474828736092E-2</v>
      </c>
      <c r="AD6" s="1">
        <v>-7.4641592187236552E-3</v>
      </c>
      <c r="AE6" s="1">
        <v>5.3424846613043697E-2</v>
      </c>
      <c r="AF6" s="1">
        <v>2.1716798513478186E-2</v>
      </c>
      <c r="AG6" s="1">
        <v>2.7848730572790229E-3</v>
      </c>
      <c r="AH6" s="1">
        <v>-2.8776440283523119E-2</v>
      </c>
      <c r="AI6" s="1">
        <v>-1.0494307879639647E-2</v>
      </c>
      <c r="AJ6" s="1">
        <v>-3.6141386299300082E-2</v>
      </c>
      <c r="AK6" s="1">
        <v>4.127501825289352E-3</v>
      </c>
      <c r="AL6" s="1">
        <v>-4.4678957638858041E-2</v>
      </c>
      <c r="AM6" s="1">
        <v>1.1681290856754199E-2</v>
      </c>
      <c r="AN6" s="1">
        <v>-1.203995854780808E-2</v>
      </c>
      <c r="AO6" s="1">
        <v>-1.2313544316994891E-3</v>
      </c>
      <c r="AP6" s="1">
        <v>1.9265668133121673E-2</v>
      </c>
      <c r="AQ6" s="1">
        <v>3.2378199567344557E-2</v>
      </c>
      <c r="AR6" s="1">
        <v>-6.9590607171512206E-2</v>
      </c>
      <c r="AS6" s="1">
        <v>2.0604862646170251E-2</v>
      </c>
      <c r="AT6" s="1">
        <v>-2.1049740278546239E-2</v>
      </c>
      <c r="AU6" s="1">
        <v>6.5504580993930922E-3</v>
      </c>
      <c r="AV6" s="1">
        <v>9.7519067277384033E-2</v>
      </c>
      <c r="AW6" s="1">
        <v>-3.0384875100623262E-2</v>
      </c>
      <c r="AX6" s="1">
        <v>7.7236437561343532E-2</v>
      </c>
      <c r="AY6" s="1">
        <v>3.2072773115632558E-2</v>
      </c>
      <c r="AZ6" s="1">
        <v>2.2946937376461113E-2</v>
      </c>
      <c r="BA6" s="1">
        <v>7.0255391117869909E-2</v>
      </c>
      <c r="BB6" s="1">
        <v>3.8122495566340384E-2</v>
      </c>
      <c r="BC6" s="1">
        <v>5.0672412129990047E-2</v>
      </c>
      <c r="BD6" s="1">
        <v>-5.2600722471667569E-3</v>
      </c>
      <c r="BE6" s="1">
        <v>1.8520479521082864E-2</v>
      </c>
      <c r="BF6" s="1">
        <v>-4.2114801486574274E-2</v>
      </c>
      <c r="BG6" s="1">
        <v>1.0809353269972751E-2</v>
      </c>
      <c r="BH6" s="1">
        <v>-1.39634679035824E-2</v>
      </c>
      <c r="BI6" s="1">
        <v>-1.9106233362601952E-2</v>
      </c>
      <c r="BJ6" s="1">
        <v>-9.0942194756433725E-3</v>
      </c>
      <c r="BK6" s="1">
        <v>2.60402027007187E-2</v>
      </c>
      <c r="BL6" s="1">
        <v>1.3698247104993389E-2</v>
      </c>
      <c r="BM6" s="1">
        <v>-4.1642878302377544E-3</v>
      </c>
      <c r="BN6" s="1">
        <v>4.5631405870722314E-2</v>
      </c>
      <c r="BO6" s="1">
        <v>2.6630291538828604E-3</v>
      </c>
      <c r="BP6" s="1">
        <v>1.7591099705407242E-2</v>
      </c>
      <c r="BQ6" s="1">
        <v>7.6200386329256676E-3</v>
      </c>
      <c r="BR6" s="1">
        <v>2.2813924545727504E-2</v>
      </c>
      <c r="BS6" s="1">
        <v>1.9642907467538676E-3</v>
      </c>
      <c r="BT6" s="1">
        <v>4.9242988689499837E-3</v>
      </c>
      <c r="BU6" s="1">
        <v>1.8483444830133179E-2</v>
      </c>
      <c r="BV6" s="1">
        <v>4.0102010746024888E-3</v>
      </c>
      <c r="BW6" s="1">
        <v>-5.5438825111602981E-3</v>
      </c>
      <c r="BX6" s="1">
        <v>-6.1933849967852651E-3</v>
      </c>
      <c r="BY6" s="1">
        <v>1.2405779619506795E-2</v>
      </c>
      <c r="BZ6" s="1">
        <v>6.3955336382198441E-2</v>
      </c>
      <c r="CA6" s="1">
        <v>7.6720531270968442E-3</v>
      </c>
      <c r="CB6" s="1">
        <v>3.8289191336201636E-2</v>
      </c>
      <c r="CC6" s="1">
        <v>2.3309452144869236E-2</v>
      </c>
      <c r="CD6" s="1">
        <v>-1.3016234825671096E-2</v>
      </c>
      <c r="CE6" s="1">
        <v>5.061782004406724E-3</v>
      </c>
      <c r="CF6" s="1">
        <v>2.3237883149209548E-2</v>
      </c>
      <c r="CG6" s="1">
        <v>4.4371895324430794E-3</v>
      </c>
      <c r="CH6" s="1">
        <v>-1.2696319043571786E-2</v>
      </c>
      <c r="CI6" s="1">
        <v>3.6386141363793666E-2</v>
      </c>
      <c r="CJ6" s="1">
        <v>9.2316830777871735E-3</v>
      </c>
      <c r="CK6" s="1">
        <v>8.672679257368629E-3</v>
      </c>
      <c r="CL6" s="1">
        <v>1.4085545948160574E-2</v>
      </c>
      <c r="CM6" s="1">
        <v>1.6013161239805822E-2</v>
      </c>
      <c r="CN6" s="1">
        <v>-3.5309266179149687E-2</v>
      </c>
      <c r="CO6" s="1">
        <v>3.198846296623834E-3</v>
      </c>
      <c r="CP6" s="1">
        <v>-4.0275317747180669E-2</v>
      </c>
      <c r="CQ6" s="1">
        <v>-4.1541220390638137E-2</v>
      </c>
      <c r="CR6" s="1">
        <v>1.8447903628151768E-2</v>
      </c>
      <c r="CS6" s="1">
        <v>-6.1534902792266116E-3</v>
      </c>
      <c r="CT6" s="1">
        <v>1.3360617597072471E-3</v>
      </c>
      <c r="CU6" s="1">
        <v>-6.9622144303623096E-3</v>
      </c>
      <c r="CV6">
        <v>-9.5548287490820269E-3</v>
      </c>
    </row>
    <row r="7" spans="1:100" x14ac:dyDescent="0.35">
      <c r="A7" s="168">
        <v>45536</v>
      </c>
      <c r="B7" s="1">
        <v>2.3470547724655236E-2</v>
      </c>
      <c r="C7" s="1">
        <v>-4.075359467070154E-3</v>
      </c>
      <c r="D7" s="1">
        <v>3.6720491656711304E-2</v>
      </c>
      <c r="E7" s="1">
        <v>2.3219147598254743E-2</v>
      </c>
      <c r="F7" s="1">
        <v>1.7965627497126803E-2</v>
      </c>
      <c r="G7" s="1">
        <v>2.6439233448060682E-2</v>
      </c>
      <c r="H7" s="1">
        <v>7.4124817152312322E-3</v>
      </c>
      <c r="I7" s="1">
        <v>6.420388656213972E-3</v>
      </c>
      <c r="J7" s="1">
        <v>3.4205155363202053E-2</v>
      </c>
      <c r="K7" s="1">
        <v>-2.0640045936033549E-2</v>
      </c>
      <c r="L7" s="1">
        <v>5.1215127857326584E-2</v>
      </c>
      <c r="M7" s="1">
        <v>-1.5940462850815195E-2</v>
      </c>
      <c r="N7" s="1">
        <v>-6.8228523619398018E-3</v>
      </c>
      <c r="O7" s="1">
        <v>-2.9963502341139685E-2</v>
      </c>
      <c r="P7" s="1">
        <v>-3.4542224836789565E-2</v>
      </c>
      <c r="Q7" s="1">
        <v>-1.4647178378681319E-2</v>
      </c>
      <c r="R7" s="1">
        <v>-1.153568156555802E-3</v>
      </c>
      <c r="S7" s="1">
        <v>2.6023404088118325E-2</v>
      </c>
      <c r="T7" s="1">
        <v>1.0589724014517694E-5</v>
      </c>
      <c r="U7" s="1">
        <v>6.9600887173308732E-4</v>
      </c>
      <c r="V7" s="1">
        <v>4.6750439676894989E-2</v>
      </c>
      <c r="W7" s="1">
        <v>-2.151060714699193E-2</v>
      </c>
      <c r="X7" s="1">
        <v>-3.0778768927694627E-3</v>
      </c>
      <c r="Y7" s="1">
        <v>-6.9547947247508585E-3</v>
      </c>
      <c r="Z7" s="1">
        <v>-7.8618602333103763E-2</v>
      </c>
      <c r="AA7" s="1">
        <v>2.0193840499670056E-2</v>
      </c>
      <c r="AB7" s="1">
        <v>2.5780184348382657E-3</v>
      </c>
      <c r="AC7" s="1">
        <v>1.405307548076707E-2</v>
      </c>
      <c r="AD7" s="1">
        <v>5.6043441548130901E-3</v>
      </c>
      <c r="AE7" s="1">
        <v>1.8344361012267038E-2</v>
      </c>
      <c r="AF7" s="1">
        <v>1.5495490139003506E-2</v>
      </c>
      <c r="AG7" s="1">
        <v>-6.8229146866568349E-2</v>
      </c>
      <c r="AH7" s="1">
        <v>-1.0395172923450567E-2</v>
      </c>
      <c r="AI7" s="1">
        <v>-3.3841915310887025E-3</v>
      </c>
      <c r="AJ7" s="1">
        <v>4.7359880616315488E-3</v>
      </c>
      <c r="AK7" s="1">
        <v>-8.7858625568715959E-3</v>
      </c>
      <c r="AL7" s="1">
        <v>3.1925477678053295E-2</v>
      </c>
      <c r="AM7" s="1">
        <v>9.1431644191687731E-4</v>
      </c>
      <c r="AN7" s="1">
        <v>7.21064689608167E-3</v>
      </c>
      <c r="AO7" s="1">
        <v>-6.5355508147477759E-2</v>
      </c>
      <c r="AP7" s="1">
        <v>1.9996532424793979E-2</v>
      </c>
      <c r="AQ7" s="1">
        <v>-9.5513474884514581E-3</v>
      </c>
      <c r="AR7" s="1">
        <v>2.0797809775680638E-2</v>
      </c>
      <c r="AS7" s="1">
        <v>8.016116580567785E-3</v>
      </c>
      <c r="AT7" s="1">
        <v>-5.128334834804375E-3</v>
      </c>
      <c r="AU7" s="1">
        <v>-2.4747203132577517E-2</v>
      </c>
      <c r="AV7" s="1">
        <v>-2.8134390443492554E-2</v>
      </c>
      <c r="AW7" s="1">
        <v>4.3254794954759234E-3</v>
      </c>
      <c r="AX7" s="1">
        <v>-2.1519109337974716E-3</v>
      </c>
      <c r="AY7" s="1">
        <v>4.2862564079593386E-3</v>
      </c>
      <c r="AZ7" s="1">
        <v>1.5517310829563221E-2</v>
      </c>
      <c r="BA7" s="1">
        <v>-9.7186616003761862E-3</v>
      </c>
      <c r="BB7" s="1">
        <v>1.1520674206832452E-2</v>
      </c>
      <c r="BC7" s="1">
        <v>-1.7996471975919113E-2</v>
      </c>
      <c r="BD7" s="1">
        <v>3.1841591663322538E-2</v>
      </c>
      <c r="BE7" s="1">
        <v>2.1011490962537301E-2</v>
      </c>
      <c r="BF7" s="1">
        <v>-4.5369028262993175E-2</v>
      </c>
      <c r="BG7" s="1">
        <v>-6.0371706251321447E-2</v>
      </c>
      <c r="BH7" s="1">
        <v>-7.1807258103804145E-2</v>
      </c>
      <c r="BI7" s="1">
        <v>2.3581203528660059E-2</v>
      </c>
      <c r="BJ7" s="1">
        <v>7.2977188975161733E-3</v>
      </c>
      <c r="BK7" s="1">
        <v>4.1700412792512867E-2</v>
      </c>
      <c r="BL7" s="1">
        <v>-1.9183342287178686E-2</v>
      </c>
      <c r="BM7" s="1">
        <v>5.4517314637690783E-3</v>
      </c>
      <c r="BN7" s="1">
        <v>3.4547330929398712E-2</v>
      </c>
      <c r="BO7" s="1">
        <v>6.5750761180920353E-3</v>
      </c>
      <c r="BP7" s="1">
        <v>1.2031068612459513E-2</v>
      </c>
      <c r="BQ7" s="1">
        <v>5.2065252037605259E-2</v>
      </c>
      <c r="BR7" s="1">
        <v>-4.1620679584282103E-2</v>
      </c>
      <c r="BS7" s="1">
        <v>6.8078072766509174E-3</v>
      </c>
      <c r="BT7" s="1">
        <v>-1.09316158118519E-2</v>
      </c>
      <c r="BU7" s="1">
        <v>-9.5193243682957784E-3</v>
      </c>
      <c r="BV7" s="1">
        <v>1.9948655129191046E-2</v>
      </c>
      <c r="BW7" s="1">
        <v>-1.2310810111079148E-2</v>
      </c>
      <c r="BX7" s="1">
        <v>6.7871139165316761E-3</v>
      </c>
      <c r="BY7" s="1">
        <v>3.8156062945025958E-2</v>
      </c>
      <c r="BZ7" s="1">
        <v>3.2471237501051811E-2</v>
      </c>
      <c r="CA7" s="1">
        <v>5.438926149988468E-3</v>
      </c>
      <c r="CB7" s="1">
        <v>2.3780356940964732E-2</v>
      </c>
      <c r="CC7" s="1">
        <v>2.852333423255209E-2</v>
      </c>
      <c r="CD7" s="1">
        <v>2.4904932168392614E-2</v>
      </c>
      <c r="CE7" s="1">
        <v>1.0351966777959732E-2</v>
      </c>
      <c r="CF7" s="1">
        <v>2.0283744187945901E-2</v>
      </c>
      <c r="CG7" s="1">
        <v>2.8381182351093173E-2</v>
      </c>
      <c r="CH7" s="1">
        <v>-1.2738629561117151E-2</v>
      </c>
      <c r="CI7" s="1">
        <v>-9.9112602652638784E-3</v>
      </c>
      <c r="CJ7" s="1">
        <v>1.9417288945045297E-2</v>
      </c>
      <c r="CK7" s="1">
        <v>-4.0706341987792258E-3</v>
      </c>
      <c r="CL7" s="1">
        <v>1.1694614897737685E-3</v>
      </c>
      <c r="CM7" s="1">
        <v>7.1388876381957941E-2</v>
      </c>
      <c r="CN7" s="1">
        <v>-3.1291292376912569E-2</v>
      </c>
      <c r="CO7" s="1">
        <v>2.1250010176641104E-2</v>
      </c>
      <c r="CP7" s="1">
        <v>-1.0838634976374883E-2</v>
      </c>
      <c r="CQ7" s="1">
        <v>-1.5627422059091116E-2</v>
      </c>
      <c r="CR7" s="1">
        <v>-1.9949908028098436E-2</v>
      </c>
      <c r="CS7" s="1">
        <v>1.5337221327781439E-3</v>
      </c>
      <c r="CT7" s="1">
        <v>1.0927691462864386E-2</v>
      </c>
      <c r="CU7" s="1">
        <v>-2.3246176097779014E-2</v>
      </c>
      <c r="CV7">
        <v>-4.7475253060367914E-2</v>
      </c>
    </row>
    <row r="8" spans="1:100" x14ac:dyDescent="0.35">
      <c r="A8" s="168">
        <v>45566</v>
      </c>
      <c r="B8" s="1">
        <v>1.1924381929088106E-2</v>
      </c>
      <c r="C8" s="1">
        <v>-2.6121012183623931E-2</v>
      </c>
      <c r="D8" s="1">
        <v>-5.3195157885488412E-2</v>
      </c>
      <c r="E8" s="1">
        <v>5.1856605638287173E-2</v>
      </c>
      <c r="F8" s="1">
        <v>2.5149967427549616E-2</v>
      </c>
      <c r="G8" s="1">
        <v>4.6029015993132374E-4</v>
      </c>
      <c r="H8" s="1">
        <v>4.7733540069013897E-3</v>
      </c>
      <c r="I8" s="1">
        <v>1.0213629430292559E-3</v>
      </c>
      <c r="J8" s="1">
        <v>-1.3796010688395491E-2</v>
      </c>
      <c r="K8" s="1">
        <v>1.061375170221482E-2</v>
      </c>
      <c r="L8" s="1">
        <v>3.6275284321590773E-4</v>
      </c>
      <c r="M8" s="1">
        <v>3.1090866697051283E-2</v>
      </c>
      <c r="N8" s="1">
        <v>1.3856593489169743E-2</v>
      </c>
      <c r="O8" s="1">
        <v>-6.4334612602571131E-2</v>
      </c>
      <c r="P8" s="1">
        <v>2.3203112615624279E-2</v>
      </c>
      <c r="Q8" s="1">
        <v>-4.9078535438695198E-2</v>
      </c>
      <c r="R8" s="1">
        <v>2.0773591808656428E-2</v>
      </c>
      <c r="S8" s="1">
        <v>3.021189034014762E-2</v>
      </c>
      <c r="T8" s="1">
        <v>-3.727953507273607E-2</v>
      </c>
      <c r="U8" s="1">
        <v>3.5258242216846244E-2</v>
      </c>
      <c r="V8" s="1">
        <v>-2.1485608338237889E-2</v>
      </c>
      <c r="W8" s="1">
        <v>-6.0132435025181299E-2</v>
      </c>
      <c r="X8" s="1">
        <v>4.5634626325809613E-2</v>
      </c>
      <c r="Y8" s="1">
        <v>-1.4472401773859125E-2</v>
      </c>
      <c r="Z8" s="1">
        <v>2.0131063117510825E-2</v>
      </c>
      <c r="AA8" s="1">
        <v>-7.5938929164702084E-3</v>
      </c>
      <c r="AB8" s="1">
        <v>1.0545348058541945E-2</v>
      </c>
      <c r="AC8" s="1">
        <v>4.5472869081880737E-2</v>
      </c>
      <c r="AD8" s="1">
        <v>-2.1297954489415353E-2</v>
      </c>
      <c r="AE8" s="1">
        <v>-5.8608863197677219E-3</v>
      </c>
      <c r="AF8" s="1">
        <v>1.2672763711100255E-2</v>
      </c>
      <c r="AG8" s="1">
        <v>6.2241741189886679E-2</v>
      </c>
      <c r="AH8" s="1">
        <v>-2.4193561698069323E-2</v>
      </c>
      <c r="AI8" s="1">
        <v>1.508502200277069E-2</v>
      </c>
      <c r="AJ8" s="1">
        <v>2.4473668219215965E-2</v>
      </c>
      <c r="AK8" s="1">
        <v>2.547746509362803E-2</v>
      </c>
      <c r="AL8" s="1">
        <v>8.4212196472479017E-3</v>
      </c>
      <c r="AM8" s="1">
        <v>-1.9408770457046941E-2</v>
      </c>
      <c r="AN8" s="1">
        <v>4.7980041546761026E-2</v>
      </c>
      <c r="AO8" s="1">
        <v>2.1392330714338501E-3</v>
      </c>
      <c r="AP8" s="1">
        <v>1.3425487229446871E-2</v>
      </c>
      <c r="AQ8" s="1">
        <v>-2.1821484516730594E-2</v>
      </c>
      <c r="AR8" s="1">
        <v>5.0994171247512585E-2</v>
      </c>
      <c r="AS8" s="1">
        <v>-1.8182500590313531E-2</v>
      </c>
      <c r="AT8" s="1">
        <v>8.938061624557481E-4</v>
      </c>
      <c r="AU8" s="1">
        <v>8.3139595322244374E-3</v>
      </c>
      <c r="AV8" s="1">
        <v>-5.7464245238465165E-3</v>
      </c>
      <c r="AW8" s="1">
        <v>-2.3484949786798347E-2</v>
      </c>
      <c r="AX8" s="1">
        <v>-1.935471732776407E-2</v>
      </c>
      <c r="AY8" s="1">
        <v>2.0912731925036766E-2</v>
      </c>
      <c r="AZ8" s="1">
        <v>-3.6342740319373762E-2</v>
      </c>
      <c r="BA8" s="1">
        <v>-3.2363716836000922E-2</v>
      </c>
      <c r="BB8" s="1">
        <v>2.7959870770780982E-2</v>
      </c>
      <c r="BC8" s="1">
        <v>1.0719148484462107E-2</v>
      </c>
      <c r="BD8" s="1">
        <v>2.3693723194692855E-2</v>
      </c>
      <c r="BE8" s="1">
        <v>-7.3930996098059296E-2</v>
      </c>
      <c r="BF8" s="1">
        <v>-2.2991341405386282E-2</v>
      </c>
      <c r="BG8" s="1">
        <v>1.1139497040896064E-2</v>
      </c>
      <c r="BH8" s="1">
        <v>1.6970536279507918E-2</v>
      </c>
      <c r="BI8" s="1">
        <v>3.3121121687315583E-2</v>
      </c>
      <c r="BJ8" s="1">
        <v>3.2894398086584231E-2</v>
      </c>
      <c r="BK8" s="1">
        <v>1.5496221583075499E-2</v>
      </c>
      <c r="BL8" s="1">
        <v>7.7219237623665365E-2</v>
      </c>
      <c r="BM8" s="1">
        <v>2.8780746903631398E-2</v>
      </c>
      <c r="BN8" s="1">
        <v>-2.2205820389063505E-2</v>
      </c>
      <c r="BO8" s="1">
        <v>2.5272455993973288E-2</v>
      </c>
      <c r="BP8" s="1">
        <v>-2.0200770183678451E-2</v>
      </c>
      <c r="BQ8" s="1">
        <v>4.5342207464470208E-2</v>
      </c>
      <c r="BR8" s="1">
        <v>2.2207589387921403E-2</v>
      </c>
      <c r="BS8" s="1">
        <v>1.8616651068785333E-2</v>
      </c>
      <c r="BT8" s="1">
        <v>6.7289018813943585E-2</v>
      </c>
      <c r="BU8" s="1">
        <v>1.5237873830943702E-2</v>
      </c>
      <c r="BV8" s="1">
        <v>-5.8922329259391143E-2</v>
      </c>
      <c r="BW8" s="1">
        <v>1.4834639252593863E-2</v>
      </c>
      <c r="BX8" s="1">
        <v>-1.7847153761685938E-2</v>
      </c>
      <c r="BY8" s="1">
        <v>-9.0150021282627904E-3</v>
      </c>
      <c r="BZ8" s="1">
        <v>1.8674918862449277E-2</v>
      </c>
      <c r="CA8" s="1">
        <v>-2.2345496540744785E-2</v>
      </c>
      <c r="CB8" s="1">
        <v>3.5474625133916152E-3</v>
      </c>
      <c r="CC8" s="1">
        <v>-2.4168502076226551E-3</v>
      </c>
      <c r="CD8" s="1">
        <v>6.0054456852270399E-2</v>
      </c>
      <c r="CE8" s="1">
        <v>2.63001977551174E-2</v>
      </c>
      <c r="CF8" s="1">
        <v>2.9417908035455544E-2</v>
      </c>
      <c r="CG8" s="1">
        <v>2.9892064555620216E-2</v>
      </c>
      <c r="CH8" s="1">
        <v>4.2232685952145309E-3</v>
      </c>
      <c r="CI8" s="1">
        <v>9.8681917749335411E-3</v>
      </c>
      <c r="CJ8" s="1">
        <v>4.9129363200186085E-2</v>
      </c>
      <c r="CK8" s="1">
        <v>-4.3176039789272022E-2</v>
      </c>
      <c r="CL8" s="1">
        <v>-4.5775297436993809E-2</v>
      </c>
      <c r="CM8" s="1">
        <v>-1.5735504274310065E-2</v>
      </c>
      <c r="CN8" s="1">
        <v>1.2423630717807523E-2</v>
      </c>
      <c r="CO8" s="1">
        <v>-1.657847704247966E-3</v>
      </c>
      <c r="CP8" s="1">
        <v>7.0581490388142903E-2</v>
      </c>
      <c r="CQ8" s="1">
        <v>-1.7155946636564348E-2</v>
      </c>
      <c r="CR8" s="1">
        <v>1.7729490731680352E-3</v>
      </c>
      <c r="CS8" s="1">
        <v>3.6735675172874793E-2</v>
      </c>
      <c r="CT8" s="1">
        <v>-6.812252987530484E-3</v>
      </c>
      <c r="CU8" s="1">
        <v>-3.2131821662208071E-2</v>
      </c>
      <c r="CV8">
        <v>-4.9921045027129018E-2</v>
      </c>
    </row>
    <row r="9" spans="1:100" x14ac:dyDescent="0.35">
      <c r="A9" s="168">
        <v>45597</v>
      </c>
      <c r="B9" s="1">
        <v>3.6948555896702817E-4</v>
      </c>
      <c r="C9" s="1">
        <v>1.1715016166708763E-2</v>
      </c>
      <c r="D9" s="1">
        <v>-1.3215494664471788E-2</v>
      </c>
      <c r="E9" s="1">
        <v>-3.1124180141670992E-2</v>
      </c>
      <c r="F9" s="1">
        <v>-2.1040844925978412E-2</v>
      </c>
      <c r="G9" s="1">
        <v>-1.2601464620006535E-2</v>
      </c>
      <c r="H9" s="1">
        <v>-4.3214128497002999E-2</v>
      </c>
      <c r="I9" s="1">
        <v>1.7682306964660423E-2</v>
      </c>
      <c r="J9" s="1">
        <v>-1.620778909140733E-2</v>
      </c>
      <c r="K9" s="1">
        <v>-2.8190605681372969E-2</v>
      </c>
      <c r="L9" s="1">
        <v>3.3831903217772102E-2</v>
      </c>
      <c r="M9" s="1">
        <v>3.9095739559882759E-3</v>
      </c>
      <c r="N9" s="1">
        <v>-1.1647399642197947E-2</v>
      </c>
      <c r="O9" s="1">
        <v>2.3328172097238749E-2</v>
      </c>
      <c r="P9" s="1">
        <v>-5.2421244272661694E-3</v>
      </c>
      <c r="Q9" s="1">
        <v>3.528281375329001E-2</v>
      </c>
      <c r="R9" s="1">
        <v>-7.8066610546494684E-3</v>
      </c>
      <c r="S9" s="1">
        <v>-5.6904924866244509E-3</v>
      </c>
      <c r="T9" s="1">
        <v>-1.4509878094473457E-2</v>
      </c>
      <c r="U9" s="1">
        <v>2.3218193389735336E-2</v>
      </c>
      <c r="V9" s="1">
        <v>1.90361258980472E-2</v>
      </c>
      <c r="W9" s="1">
        <v>-1.5889865554266903E-2</v>
      </c>
      <c r="X9" s="1">
        <v>9.7739587977678927E-3</v>
      </c>
      <c r="Y9" s="1">
        <v>4.975241351924721E-2</v>
      </c>
      <c r="Z9" s="1">
        <v>1.0180709325305636E-2</v>
      </c>
      <c r="AA9" s="1">
        <v>3.638982784954771E-2</v>
      </c>
      <c r="AB9" s="1">
        <v>-3.9595448792399526E-2</v>
      </c>
      <c r="AC9" s="1">
        <v>-9.7639929428180068E-3</v>
      </c>
      <c r="AD9" s="1">
        <v>9.4181796880646387E-3</v>
      </c>
      <c r="AE9" s="1">
        <v>-9.923799804699162E-3</v>
      </c>
      <c r="AF9" s="1">
        <v>4.0743722087832196E-2</v>
      </c>
      <c r="AG9" s="1">
        <v>6.9204591273253034E-3</v>
      </c>
      <c r="AH9" s="1">
        <v>-2.2344361270270743E-2</v>
      </c>
      <c r="AI9" s="1">
        <v>5.1945967475648044E-2</v>
      </c>
      <c r="AJ9" s="1">
        <v>-1.5004383623087435E-4</v>
      </c>
      <c r="AK9" s="1">
        <v>5.8486019262797936E-2</v>
      </c>
      <c r="AL9" s="1">
        <v>-3.1024025854123876E-2</v>
      </c>
      <c r="AM9" s="1">
        <v>4.0191415445484831E-3</v>
      </c>
      <c r="AN9" s="1">
        <v>2.9286771284012778E-2</v>
      </c>
      <c r="AO9" s="1">
        <v>2.1069801130009051E-2</v>
      </c>
      <c r="AP9" s="1">
        <v>2.2839827468314838E-2</v>
      </c>
      <c r="AQ9" s="1">
        <v>-1.2763767973956779E-2</v>
      </c>
      <c r="AR9" s="1">
        <v>3.5377669219378696E-2</v>
      </c>
      <c r="AS9" s="1">
        <v>-1.4865048153561686E-2</v>
      </c>
      <c r="AT9" s="1">
        <v>2.0119598444110643E-3</v>
      </c>
      <c r="AU9" s="1">
        <v>-4.6583129620590219E-2</v>
      </c>
      <c r="AV9" s="1">
        <v>4.8385360205259131E-2</v>
      </c>
      <c r="AW9" s="1">
        <v>-1.9770453551943457E-2</v>
      </c>
      <c r="AX9" s="1">
        <v>-6.0277251757220839E-3</v>
      </c>
      <c r="AY9" s="1">
        <v>-2.9636267908797243E-2</v>
      </c>
      <c r="AZ9" s="1">
        <v>4.4324683026249534E-2</v>
      </c>
      <c r="BA9" s="1">
        <v>-4.279253134962889E-2</v>
      </c>
      <c r="BB9" s="1">
        <v>-2.7710332590333116E-2</v>
      </c>
      <c r="BC9" s="1">
        <v>2.4825911468254368E-2</v>
      </c>
      <c r="BD9" s="1">
        <v>8.0913942581727991E-3</v>
      </c>
      <c r="BE9" s="1">
        <v>1.7678768520801736E-2</v>
      </c>
      <c r="BF9" s="1">
        <v>5.4398348462650382E-3</v>
      </c>
      <c r="BG9" s="1">
        <v>4.9419171466418374E-2</v>
      </c>
      <c r="BH9" s="1">
        <v>3.9162869484331408E-3</v>
      </c>
      <c r="BI9" s="1">
        <v>-8.4627913409890468E-3</v>
      </c>
      <c r="BJ9" s="1">
        <v>-1.3694401961708479E-2</v>
      </c>
      <c r="BK9" s="1">
        <v>5.5973132016491562E-3</v>
      </c>
      <c r="BL9" s="1">
        <v>2.1819542919616922E-2</v>
      </c>
      <c r="BM9" s="1">
        <v>-3.7591502891894918E-2</v>
      </c>
      <c r="BN9" s="1">
        <v>7.0146834083632103E-3</v>
      </c>
      <c r="BO9" s="1">
        <v>-5.0134802319530217E-3</v>
      </c>
      <c r="BP9" s="1">
        <v>2.5601794808356212E-2</v>
      </c>
      <c r="BQ9" s="1">
        <v>1.1746469135541508E-2</v>
      </c>
      <c r="BR9" s="1">
        <v>2.8684900247215938E-2</v>
      </c>
      <c r="BS9" s="1">
        <v>-2.1488255292390967E-2</v>
      </c>
      <c r="BT9" s="1">
        <v>3.9429902371688856E-3</v>
      </c>
      <c r="BU9" s="1">
        <v>3.4242739285408316E-2</v>
      </c>
      <c r="BV9" s="1">
        <v>4.5449699065645027E-2</v>
      </c>
      <c r="BW9" s="1">
        <v>3.4596975462062134E-2</v>
      </c>
      <c r="BX9" s="1">
        <v>3.1327035882056375E-2</v>
      </c>
      <c r="BY9" s="1">
        <v>-3.9667116377131179E-3</v>
      </c>
      <c r="BZ9" s="1">
        <v>3.7300744620175005E-2</v>
      </c>
      <c r="CA9" s="1">
        <v>2.5036097724724666E-2</v>
      </c>
      <c r="CB9" s="1">
        <v>6.4884476942206172E-3</v>
      </c>
      <c r="CC9" s="1">
        <v>-7.9057304402908642E-3</v>
      </c>
      <c r="CD9" s="1">
        <v>1.7800138483237915E-2</v>
      </c>
      <c r="CE9" s="1">
        <v>-9.8142186922266297E-3</v>
      </c>
      <c r="CF9" s="1">
        <v>-1.3669827040003767E-2</v>
      </c>
      <c r="CG9" s="1">
        <v>2.0786878995121463E-3</v>
      </c>
      <c r="CH9" s="1">
        <v>2.0088212464585479E-2</v>
      </c>
      <c r="CI9" s="1">
        <v>-2.114034501362572E-2</v>
      </c>
      <c r="CJ9" s="1">
        <v>4.7961573831481211E-2</v>
      </c>
      <c r="CK9" s="1">
        <v>2.5419729789777801E-2</v>
      </c>
      <c r="CL9" s="1">
        <v>-9.0039733883796359E-3</v>
      </c>
      <c r="CM9" s="1">
        <v>-5.5359879169556647E-2</v>
      </c>
      <c r="CN9" s="1">
        <v>-3.5255192214859288E-2</v>
      </c>
      <c r="CO9" s="1">
        <v>-1.7829366019944313E-2</v>
      </c>
      <c r="CP9" s="1">
        <v>4.782911608054348E-2</v>
      </c>
      <c r="CQ9" s="1">
        <v>6.5299497073088731E-3</v>
      </c>
      <c r="CR9" s="1">
        <v>-5.2913890768060065E-3</v>
      </c>
      <c r="CS9" s="1">
        <v>4.1155051053409261E-2</v>
      </c>
      <c r="CT9" s="1">
        <v>1.9217777683295162E-2</v>
      </c>
      <c r="CU9" s="1">
        <v>9.0959053108057124E-3</v>
      </c>
      <c r="CV9">
        <v>-4.4930314751495906E-2</v>
      </c>
    </row>
    <row r="10" spans="1:100" x14ac:dyDescent="0.35">
      <c r="A10" s="168">
        <v>45627</v>
      </c>
      <c r="B10" s="1">
        <v>1.1362287701302017E-2</v>
      </c>
      <c r="C10" s="1">
        <v>5.7252995750847371E-2</v>
      </c>
      <c r="D10" s="1">
        <v>-3.5894107171558068E-2</v>
      </c>
      <c r="E10" s="1">
        <v>3.3851210818728439E-2</v>
      </c>
      <c r="F10" s="1">
        <v>-5.6486093315029379E-2</v>
      </c>
      <c r="G10" s="1">
        <v>-1.307308127271949E-2</v>
      </c>
      <c r="H10" s="1">
        <v>2.4043980099023556E-2</v>
      </c>
      <c r="I10" s="1">
        <v>-1.3955925001907548E-2</v>
      </c>
      <c r="J10" s="1">
        <v>-2.1122213380462686E-2</v>
      </c>
      <c r="K10" s="1">
        <v>1.8905841910823999E-2</v>
      </c>
      <c r="L10" s="1">
        <v>4.2533622003714217E-2</v>
      </c>
      <c r="M10" s="1">
        <v>-1.8643643284558899E-2</v>
      </c>
      <c r="N10" s="1">
        <v>-2.6499652235001375E-3</v>
      </c>
      <c r="O10" s="1">
        <v>7.3056412328599288E-2</v>
      </c>
      <c r="P10" s="1">
        <v>7.4702754659089696E-2</v>
      </c>
      <c r="Q10" s="1">
        <v>-1.1471333406348205E-2</v>
      </c>
      <c r="R10" s="1">
        <v>3.6938468060334659E-3</v>
      </c>
      <c r="S10" s="1">
        <v>-7.8543918919910492E-3</v>
      </c>
      <c r="T10" s="1">
        <v>-2.6323192157836194E-2</v>
      </c>
      <c r="U10" s="1">
        <v>-1.5040309689050176E-2</v>
      </c>
      <c r="V10" s="1">
        <v>-1.8148109793421682E-2</v>
      </c>
      <c r="W10" s="1">
        <v>6.2735816969728672E-2</v>
      </c>
      <c r="X10" s="1">
        <v>-3.0524141899394817E-2</v>
      </c>
      <c r="Y10" s="1">
        <v>1.2564063134220742E-2</v>
      </c>
      <c r="Z10" s="1">
        <v>-7.5350734539218669E-3</v>
      </c>
      <c r="AA10" s="1">
        <v>-1.4942193820990855E-2</v>
      </c>
      <c r="AB10" s="1">
        <v>7.3602574040065302E-2</v>
      </c>
      <c r="AC10" s="1">
        <v>-7.0097305271382207E-3</v>
      </c>
      <c r="AD10" s="1">
        <v>-5.4261776600339831E-3</v>
      </c>
      <c r="AE10" s="1">
        <v>-7.6134718302162119E-4</v>
      </c>
      <c r="AF10" s="1">
        <v>7.7409758107964535E-2</v>
      </c>
      <c r="AG10" s="1">
        <v>-7.780326606487321E-3</v>
      </c>
      <c r="AH10" s="1">
        <v>-1.2123413387865063E-2</v>
      </c>
      <c r="AI10" s="1">
        <v>-8.3089936030448855E-3</v>
      </c>
      <c r="AJ10" s="1">
        <v>-3.9110326637424517E-3</v>
      </c>
      <c r="AK10" s="1">
        <v>4.6955070169474131E-2</v>
      </c>
      <c r="AL10" s="1">
        <v>-1.4258305754733434E-2</v>
      </c>
      <c r="AM10" s="1">
        <v>9.5985922102461499E-3</v>
      </c>
      <c r="AN10" s="1">
        <v>3.6310961038867065E-2</v>
      </c>
      <c r="AO10" s="1">
        <v>4.4277460869223226E-2</v>
      </c>
      <c r="AP10" s="1">
        <v>4.0989405697360315E-2</v>
      </c>
      <c r="AQ10" s="1">
        <v>-2.4540021651061502E-2</v>
      </c>
      <c r="AR10" s="1">
        <v>-1.0459987139408333E-2</v>
      </c>
      <c r="AS10" s="1">
        <v>6.3629692757964243E-3</v>
      </c>
      <c r="AT10" s="1">
        <v>5.3838128273599895E-3</v>
      </c>
      <c r="AU10" s="1">
        <v>6.0253101914696612E-3</v>
      </c>
      <c r="AV10" s="1">
        <v>4.3479209579319698E-3</v>
      </c>
      <c r="AW10" s="1">
        <v>-2.9995071244963551E-2</v>
      </c>
      <c r="AX10" s="1">
        <v>6.755670520136961E-2</v>
      </c>
      <c r="AY10" s="1">
        <v>1.133088542567225E-2</v>
      </c>
      <c r="AZ10" s="1">
        <v>3.4399511865852214E-3</v>
      </c>
      <c r="BA10" s="1">
        <v>8.3130326956117832E-3</v>
      </c>
      <c r="BB10" s="1">
        <v>4.4523746250510102E-2</v>
      </c>
      <c r="BC10" s="1">
        <v>2.7666197752866897E-2</v>
      </c>
      <c r="BD10" s="1">
        <v>-3.7070253509113114E-3</v>
      </c>
      <c r="BE10" s="1">
        <v>-6.080525917383419E-3</v>
      </c>
      <c r="BF10" s="1">
        <v>-7.8332311442933702E-3</v>
      </c>
      <c r="BG10" s="1">
        <v>9.3144737071997052E-3</v>
      </c>
      <c r="BH10" s="1">
        <v>1.2829505806830292E-3</v>
      </c>
      <c r="BI10" s="1">
        <v>-4.8465110396452182E-2</v>
      </c>
      <c r="BJ10" s="1">
        <v>2.5634489764537506E-2</v>
      </c>
      <c r="BK10" s="1">
        <v>3.9030803251827784E-2</v>
      </c>
      <c r="BL10" s="1">
        <v>-4.6677016496959628E-2</v>
      </c>
      <c r="BM10" s="1">
        <v>-4.0043762529512524E-3</v>
      </c>
      <c r="BN10" s="1">
        <v>-4.3131720763070702E-2</v>
      </c>
      <c r="BO10" s="1">
        <v>1.4809810707650681E-2</v>
      </c>
      <c r="BP10" s="1">
        <v>-1.4328914588339098E-2</v>
      </c>
      <c r="BQ10" s="1">
        <v>-1.9540947842109427E-2</v>
      </c>
      <c r="BR10" s="1">
        <v>5.2539319485635436E-3</v>
      </c>
      <c r="BS10" s="1">
        <v>-4.961712509710248E-3</v>
      </c>
      <c r="BT10" s="1">
        <v>-3.5748918590599157E-2</v>
      </c>
      <c r="BU10" s="1">
        <v>2.7787444394296514E-2</v>
      </c>
      <c r="BV10" s="1">
        <v>-1.2268646939800322E-2</v>
      </c>
      <c r="BW10" s="1">
        <v>-1.7134722665667814E-3</v>
      </c>
      <c r="BX10" s="1">
        <v>-4.4787189976023933E-2</v>
      </c>
      <c r="BY10" s="1">
        <v>4.6558503380119036E-3</v>
      </c>
      <c r="BZ10" s="1">
        <v>2.3051196145535885E-2</v>
      </c>
      <c r="CA10" s="1">
        <v>-1.8608198676148855E-2</v>
      </c>
      <c r="CB10" s="1">
        <v>-1.3312373404743016E-2</v>
      </c>
      <c r="CC10" s="1">
        <v>3.6699009041953806E-2</v>
      </c>
      <c r="CD10" s="1">
        <v>3.212953313682522E-2</v>
      </c>
      <c r="CE10" s="1">
        <v>-2.2134535872417715E-3</v>
      </c>
      <c r="CF10" s="1">
        <v>2.6992193862011892E-3</v>
      </c>
      <c r="CG10" s="1">
        <v>2.9354517316305319E-2</v>
      </c>
      <c r="CH10" s="1">
        <v>-8.4781186339038563E-3</v>
      </c>
      <c r="CI10" s="1">
        <v>5.6917030756914927E-2</v>
      </c>
      <c r="CJ10" s="1">
        <v>-1.5504045472189535E-2</v>
      </c>
      <c r="CK10" s="1">
        <v>2.5846132439983276E-2</v>
      </c>
      <c r="CL10" s="1">
        <v>3.497420240365208E-2</v>
      </c>
      <c r="CM10" s="1">
        <v>-3.219263337662194E-2</v>
      </c>
      <c r="CN10" s="1">
        <v>1.1918806128042417E-2</v>
      </c>
      <c r="CO10" s="1">
        <v>-1.7117590691371285E-3</v>
      </c>
      <c r="CP10" s="1">
        <v>-1.2408691984830838E-2</v>
      </c>
      <c r="CQ10" s="1">
        <v>-1.8377314199633808E-2</v>
      </c>
      <c r="CR10" s="1">
        <v>-9.4245250774447481E-3</v>
      </c>
      <c r="CS10" s="1">
        <v>-3.1019539087973631E-2</v>
      </c>
      <c r="CT10" s="1">
        <v>-3.9005844541909779E-2</v>
      </c>
      <c r="CU10" s="1">
        <v>-2.3315025524012468E-2</v>
      </c>
      <c r="CV10">
        <v>1.4822062881624595E-2</v>
      </c>
    </row>
    <row r="11" spans="1:100" x14ac:dyDescent="0.35">
      <c r="A11" s="168">
        <v>45658</v>
      </c>
      <c r="B11" s="1">
        <v>1.5250786805720423E-2</v>
      </c>
      <c r="C11" s="1">
        <v>3.2444391255985236E-2</v>
      </c>
      <c r="D11" s="1">
        <v>-3.8467198960001753E-2</v>
      </c>
      <c r="E11" s="1">
        <v>-1.9588818573527744E-2</v>
      </c>
      <c r="F11" s="1">
        <v>1.2151550826587823E-2</v>
      </c>
      <c r="G11" s="1">
        <v>5.278180152343076E-2</v>
      </c>
      <c r="H11" s="1">
        <v>2.8646572475926051E-2</v>
      </c>
      <c r="I11" s="1">
        <v>9.2735985252002991E-3</v>
      </c>
      <c r="J11" s="1">
        <v>2.0691922541446368E-2</v>
      </c>
      <c r="K11" s="1">
        <v>-4.5129112892334892E-5</v>
      </c>
      <c r="L11" s="1">
        <v>-3.2181616871407914E-2</v>
      </c>
      <c r="M11" s="1">
        <v>-4.007500076525828E-3</v>
      </c>
      <c r="N11" s="1">
        <v>-4.506854551680399E-2</v>
      </c>
      <c r="O11" s="1">
        <v>3.5856097882182776E-3</v>
      </c>
      <c r="P11" s="1">
        <v>-4.3186516118322263E-2</v>
      </c>
      <c r="Q11" s="1">
        <v>9.9585928363423813E-3</v>
      </c>
      <c r="R11" s="1">
        <v>-9.9040723674473571E-3</v>
      </c>
      <c r="S11" s="1">
        <v>-3.3462911671509436E-3</v>
      </c>
      <c r="T11" s="1">
        <v>7.2519904261007004E-2</v>
      </c>
      <c r="U11" s="1">
        <v>-3.8756605715513804E-3</v>
      </c>
      <c r="V11" s="1">
        <v>4.4035644600446414E-2</v>
      </c>
      <c r="W11" s="1">
        <v>3.9121041178764113E-3</v>
      </c>
      <c r="X11" s="1">
        <v>-1.1579051214332902E-2</v>
      </c>
      <c r="Y11" s="1">
        <v>-1.0554467880268401E-2</v>
      </c>
      <c r="Z11" s="1">
        <v>2.3199186458040359E-2</v>
      </c>
      <c r="AA11" s="1">
        <v>4.1275190197328226E-3</v>
      </c>
      <c r="AB11" s="1">
        <v>-2.0909448830915223E-2</v>
      </c>
      <c r="AC11" s="1">
        <v>5.964795225964567E-2</v>
      </c>
      <c r="AD11" s="1">
        <v>-1.1319215467303693E-2</v>
      </c>
      <c r="AE11" s="1">
        <v>9.5408592927981109E-3</v>
      </c>
      <c r="AF11" s="1">
        <v>2.6036946914938467E-2</v>
      </c>
      <c r="AG11" s="1">
        <v>3.3754577261602123E-2</v>
      </c>
      <c r="AH11" s="1">
        <v>8.3087010690891163E-3</v>
      </c>
      <c r="AI11" s="1">
        <v>-2.1770430067457512E-2</v>
      </c>
      <c r="AJ11" s="1">
        <v>3.5271550468883181E-2</v>
      </c>
      <c r="AK11" s="1">
        <v>4.7933122285033951E-3</v>
      </c>
      <c r="AL11" s="1">
        <v>-2.7200324105417239E-2</v>
      </c>
      <c r="AM11" s="1">
        <v>2.3592448402991791E-2</v>
      </c>
      <c r="AN11" s="1">
        <v>5.0218267540435235E-2</v>
      </c>
      <c r="AO11" s="1">
        <v>6.0456112601726501E-3</v>
      </c>
      <c r="AP11" s="1">
        <v>-4.0290096921244772E-2</v>
      </c>
      <c r="AQ11" s="1">
        <v>-3.9454756861876522E-3</v>
      </c>
      <c r="AR11" s="1">
        <v>-2.1952142760926024E-2</v>
      </c>
      <c r="AS11" s="1">
        <v>-4.5280063467572726E-2</v>
      </c>
      <c r="AT11" s="1">
        <v>7.0441639034675721E-2</v>
      </c>
      <c r="AU11" s="1">
        <v>-1.4226290065800694E-2</v>
      </c>
      <c r="AV11" s="1">
        <v>2.4292183418320283E-2</v>
      </c>
      <c r="AW11" s="1">
        <v>-8.1634719644256212E-4</v>
      </c>
      <c r="AX11" s="1">
        <v>3.8962780979803963E-2</v>
      </c>
      <c r="AY11" s="1">
        <v>2.8182240909270441E-2</v>
      </c>
      <c r="AZ11" s="1">
        <v>-6.909142213365535E-2</v>
      </c>
      <c r="BA11" s="1">
        <v>-8.8137897172580956E-4</v>
      </c>
      <c r="BB11" s="1">
        <v>6.3671222186457875E-3</v>
      </c>
      <c r="BC11" s="1">
        <v>4.3198732688467745E-2</v>
      </c>
      <c r="BD11" s="1">
        <v>-2.1344632597669593E-2</v>
      </c>
      <c r="BE11" s="1">
        <v>2.2366761289853054E-2</v>
      </c>
      <c r="BF11" s="1">
        <v>6.750441679861276E-3</v>
      </c>
      <c r="BG11" s="1">
        <v>-2.1727565676154387E-2</v>
      </c>
      <c r="BH11" s="1">
        <v>-1.8065748118303967E-2</v>
      </c>
      <c r="BI11" s="1">
        <v>-2.9064225605115821E-2</v>
      </c>
      <c r="BJ11" s="1">
        <v>-2.0838126692719686E-3</v>
      </c>
      <c r="BK11" s="1">
        <v>4.981368026426955E-2</v>
      </c>
      <c r="BL11" s="1">
        <v>2.6245372581294748E-2</v>
      </c>
      <c r="BM11" s="1">
        <v>4.5466180800141934E-2</v>
      </c>
      <c r="BN11" s="1">
        <v>-1.0925927193392443E-3</v>
      </c>
      <c r="BO11" s="1">
        <v>1.9599823287631841E-3</v>
      </c>
      <c r="BP11" s="1">
        <v>5.8411625557847735E-2</v>
      </c>
      <c r="BQ11" s="1">
        <v>3.0452146466330026E-2</v>
      </c>
      <c r="BR11" s="1">
        <v>1.3985698991322093E-2</v>
      </c>
      <c r="BS11" s="1">
        <v>-1.1021562812376023E-2</v>
      </c>
      <c r="BT11" s="1">
        <v>-2.0556250048115818E-2</v>
      </c>
      <c r="BU11" s="1">
        <v>4.8130626477254343E-2</v>
      </c>
      <c r="BV11" s="1">
        <v>8.8319151418131542E-3</v>
      </c>
      <c r="BW11" s="1">
        <v>5.8837793450193826E-2</v>
      </c>
      <c r="BX11" s="1">
        <v>3.9044461348881163E-2</v>
      </c>
      <c r="BY11" s="1">
        <v>1.5022600124571028E-2</v>
      </c>
      <c r="BZ11" s="1">
        <v>5.0230560497012106E-2</v>
      </c>
      <c r="CA11" s="1">
        <v>-2.5523734408002128E-2</v>
      </c>
      <c r="CB11" s="1">
        <v>-4.3816464500225395E-3</v>
      </c>
      <c r="CC11" s="1">
        <v>-4.0504817736553816E-2</v>
      </c>
      <c r="CD11" s="1">
        <v>2.8157259030745792E-2</v>
      </c>
      <c r="CE11" s="1">
        <v>1.878886666199861E-2</v>
      </c>
      <c r="CF11" s="1">
        <v>1.2901096420571169E-2</v>
      </c>
      <c r="CG11" s="1">
        <v>-1.6166530570544301E-2</v>
      </c>
      <c r="CH11" s="1">
        <v>5.1522461083725081E-3</v>
      </c>
      <c r="CI11" s="1">
        <v>1.4221164329898126E-2</v>
      </c>
      <c r="CJ11" s="1">
        <v>1.3097325327654966E-2</v>
      </c>
      <c r="CK11" s="1">
        <v>-1.7146433147668394E-3</v>
      </c>
      <c r="CL11" s="1">
        <v>-8.7745860671768761E-3</v>
      </c>
      <c r="CM11" s="1">
        <v>1.8153783952641334E-2</v>
      </c>
      <c r="CN11" s="1">
        <v>4.2853593668500847E-2</v>
      </c>
      <c r="CO11" s="1">
        <v>1.4962572449165889E-2</v>
      </c>
      <c r="CP11" s="1">
        <v>3.1176471450809505E-2</v>
      </c>
      <c r="CQ11" s="1">
        <v>-1.3616186268933184E-2</v>
      </c>
      <c r="CR11" s="1">
        <v>-6.2744967884807139E-3</v>
      </c>
      <c r="CS11" s="1">
        <v>1.2599600682435978E-2</v>
      </c>
      <c r="CT11" s="1">
        <v>7.4717510961473277E-2</v>
      </c>
      <c r="CU11" s="1">
        <v>-5.8089910252943737E-3</v>
      </c>
      <c r="CV11">
        <v>-4.0883265509840828E-3</v>
      </c>
    </row>
    <row r="12" spans="1:100" x14ac:dyDescent="0.35">
      <c r="A12" s="168">
        <v>45689</v>
      </c>
      <c r="B12" s="1">
        <v>-1.190534571593976E-2</v>
      </c>
      <c r="C12" s="1">
        <v>-2.9047748891558554E-3</v>
      </c>
      <c r="D12" s="1">
        <v>6.5382507149646437E-4</v>
      </c>
      <c r="E12" s="1">
        <v>-8.972356286825571E-4</v>
      </c>
      <c r="F12" s="1">
        <v>5.4348108581719512E-2</v>
      </c>
      <c r="G12" s="1">
        <v>-6.0439475038601448E-2</v>
      </c>
      <c r="H12" s="1">
        <v>-4.1757380131358171E-3</v>
      </c>
      <c r="I12" s="1">
        <v>-2.8934112656730029E-4</v>
      </c>
      <c r="J12" s="1">
        <v>6.1981048273304657E-3</v>
      </c>
      <c r="K12" s="1">
        <v>-6.7390830842727345E-3</v>
      </c>
      <c r="L12" s="1">
        <v>2.2391759672367496E-2</v>
      </c>
      <c r="M12" s="1">
        <v>5.5031865581551612E-2</v>
      </c>
      <c r="N12" s="1">
        <v>1.1597671754640819E-2</v>
      </c>
      <c r="O12" s="1">
        <v>4.7473421779510402E-2</v>
      </c>
      <c r="P12" s="1">
        <v>2.5803076217948914E-2</v>
      </c>
      <c r="Q12" s="1">
        <v>-9.4368700257592315E-3</v>
      </c>
      <c r="R12" s="1">
        <v>-5.0809959212347239E-2</v>
      </c>
      <c r="S12" s="1">
        <v>2.4701608240888871E-2</v>
      </c>
      <c r="T12" s="1">
        <v>1.3743655286502449E-2</v>
      </c>
      <c r="U12" s="1">
        <v>-2.6489320491711561E-2</v>
      </c>
      <c r="V12" s="1">
        <v>-1.0088744785211903E-2</v>
      </c>
      <c r="W12" s="1">
        <v>2.1524758126857304E-2</v>
      </c>
      <c r="X12" s="1">
        <v>-1.3267430102257453E-2</v>
      </c>
      <c r="Y12" s="1">
        <v>2.4297056685865969E-2</v>
      </c>
      <c r="Z12" s="1">
        <v>1.9689693705087247E-2</v>
      </c>
      <c r="AA12" s="1">
        <v>-5.5544849639392005E-2</v>
      </c>
      <c r="AB12" s="1">
        <v>3.1283160472791623E-2</v>
      </c>
      <c r="AC12" s="1">
        <v>9.2493251516610388E-3</v>
      </c>
      <c r="AD12" s="1">
        <v>3.951245584410323E-4</v>
      </c>
      <c r="AE12" s="1">
        <v>2.0883039194338534E-3</v>
      </c>
      <c r="AF12" s="1">
        <v>-2.0044259196321888E-2</v>
      </c>
      <c r="AG12" s="1">
        <v>4.4326560818408536E-2</v>
      </c>
      <c r="AH12" s="1">
        <v>-4.3139924504585953E-2</v>
      </c>
      <c r="AI12" s="1">
        <v>-7.6488749813039235E-3</v>
      </c>
      <c r="AJ12" s="1">
        <v>7.2156296869440653E-2</v>
      </c>
      <c r="AK12" s="1">
        <v>2.1832872648082646E-2</v>
      </c>
      <c r="AL12" s="1">
        <v>-1.9066796065426616E-2</v>
      </c>
      <c r="AM12" s="1">
        <v>-4.265157324631777E-2</v>
      </c>
      <c r="AN12" s="1">
        <v>-5.3414521601520312E-2</v>
      </c>
      <c r="AO12" s="1">
        <v>-1.8023869537416203E-2</v>
      </c>
      <c r="AP12" s="1">
        <v>5.4141855584732296E-3</v>
      </c>
      <c r="AQ12" s="1">
        <v>-3.279642671477026E-2</v>
      </c>
      <c r="AR12" s="1">
        <v>1.1034416635023192E-2</v>
      </c>
      <c r="AS12" s="1">
        <v>-6.8894664889991349E-3</v>
      </c>
      <c r="AT12" s="1">
        <v>2.8417378213310293E-2</v>
      </c>
      <c r="AU12" s="1">
        <v>1.0813124851083312E-2</v>
      </c>
      <c r="AV12" s="1">
        <v>1.4345743766866498E-2</v>
      </c>
      <c r="AW12" s="1">
        <v>-5.9735031216035829E-4</v>
      </c>
      <c r="AX12" s="1">
        <v>-1.97592497068644E-2</v>
      </c>
      <c r="AY12" s="1">
        <v>2.5168268613040754E-2</v>
      </c>
      <c r="AZ12" s="1">
        <v>-5.5171221753418848E-2</v>
      </c>
      <c r="BA12" s="1">
        <v>4.5080265087181826E-2</v>
      </c>
      <c r="BB12" s="1">
        <v>-2.8845012277906177E-2</v>
      </c>
      <c r="BC12" s="1">
        <v>-2.8984870917340647E-3</v>
      </c>
      <c r="BD12" s="1">
        <v>2.5697851639590312E-2</v>
      </c>
      <c r="BE12" s="1">
        <v>-2.2892475898529985E-2</v>
      </c>
      <c r="BF12" s="1">
        <v>-3.3727690333817499E-3</v>
      </c>
      <c r="BG12" s="1">
        <v>2.7973991004125086E-2</v>
      </c>
      <c r="BH12" s="1">
        <v>-3.0075189253265262E-2</v>
      </c>
      <c r="BI12" s="1">
        <v>-4.2217344729294903E-3</v>
      </c>
      <c r="BJ12" s="1">
        <v>-1.4653242777107185E-2</v>
      </c>
      <c r="BK12" s="1">
        <v>-2.2280996130015784E-2</v>
      </c>
      <c r="BL12" s="1">
        <v>1.7354194400169706E-2</v>
      </c>
      <c r="BM12" s="1">
        <v>4.7068059821644536E-4</v>
      </c>
      <c r="BN12" s="1">
        <v>2.9879282923386017E-2</v>
      </c>
      <c r="BO12" s="1">
        <v>-1.2014967245819075E-2</v>
      </c>
      <c r="BP12" s="1">
        <v>-5.1202282520814903E-3</v>
      </c>
      <c r="BQ12" s="1">
        <v>9.8448813811041647E-2</v>
      </c>
      <c r="BR12" s="1">
        <v>5.6618429283513032E-3</v>
      </c>
      <c r="BS12" s="1">
        <v>-2.8020735361431234E-2</v>
      </c>
      <c r="BT12" s="1">
        <v>2.3945208480184867E-2</v>
      </c>
      <c r="BU12" s="1">
        <v>9.6031036967460834E-2</v>
      </c>
      <c r="BV12" s="1">
        <v>-3.1795748950564945E-2</v>
      </c>
      <c r="BW12" s="1">
        <v>-7.863048202835227E-3</v>
      </c>
      <c r="BX12" s="1">
        <v>2.3206191550159891E-2</v>
      </c>
      <c r="BY12" s="1">
        <v>9.1786141609943427E-3</v>
      </c>
      <c r="BZ12" s="1">
        <v>-2.4611506620203238E-2</v>
      </c>
      <c r="CA12" s="1">
        <v>3.3410605867429125E-2</v>
      </c>
      <c r="CB12" s="1">
        <v>3.2120055192775263E-2</v>
      </c>
      <c r="CC12" s="1">
        <v>4.9579392460697994E-2</v>
      </c>
      <c r="CD12" s="1">
        <v>-1.0612240788711893E-2</v>
      </c>
      <c r="CE12" s="1">
        <v>2.1434841202024359E-2</v>
      </c>
      <c r="CF12" s="1">
        <v>-2.6443332911959157E-2</v>
      </c>
      <c r="CG12" s="1">
        <v>4.4483750000945579E-2</v>
      </c>
      <c r="CH12" s="1">
        <v>4.1932739530852095E-2</v>
      </c>
      <c r="CI12" s="1">
        <v>-2.1805444621766947E-2</v>
      </c>
      <c r="CJ12" s="1">
        <v>-4.2572118607881487E-2</v>
      </c>
      <c r="CK12" s="1">
        <v>-9.0801819912380288E-3</v>
      </c>
      <c r="CL12" s="1">
        <v>7.0989487540825777E-2</v>
      </c>
      <c r="CM12" s="1">
        <v>-2.7898966214380459E-2</v>
      </c>
      <c r="CN12" s="1">
        <v>-1.4927585577326864E-2</v>
      </c>
      <c r="CO12" s="1">
        <v>4.4957640646922079E-2</v>
      </c>
      <c r="CP12" s="1">
        <v>2.053802332704234E-2</v>
      </c>
      <c r="CQ12" s="1">
        <v>-7.6321713846605379E-3</v>
      </c>
      <c r="CR12" s="1">
        <v>1.0470628306298909E-3</v>
      </c>
      <c r="CS12" s="1">
        <v>-5.5395607417796852E-2</v>
      </c>
      <c r="CT12" s="1">
        <v>-1.104790299966266E-2</v>
      </c>
      <c r="CU12" s="1">
        <v>3.026711395224211E-2</v>
      </c>
      <c r="CV12">
        <v>2.9659348323056674E-2</v>
      </c>
    </row>
    <row r="13" spans="1:100" ht="15" thickBot="1" x14ac:dyDescent="0.4">
      <c r="A13" s="168">
        <v>45717</v>
      </c>
      <c r="B13" s="1">
        <v>2.4734526090248565E-2</v>
      </c>
      <c r="C13" s="1">
        <v>-8.181926914099762E-3</v>
      </c>
      <c r="D13" s="1">
        <v>-1.9276263970702694E-2</v>
      </c>
      <c r="E13" s="1">
        <v>7.4890600596409798E-2</v>
      </c>
      <c r="F13" s="1">
        <v>-2.3990389946357996E-2</v>
      </c>
      <c r="G13" s="1">
        <v>1.1412396748587503E-2</v>
      </c>
      <c r="H13" s="1">
        <v>6.8102275586124934E-4</v>
      </c>
      <c r="I13" s="1">
        <v>1.3925207478828328E-2</v>
      </c>
      <c r="J13" s="1">
        <v>-1.1133353567879974E-2</v>
      </c>
      <c r="K13" s="1">
        <v>-2.5198981317780037E-2</v>
      </c>
      <c r="L13" s="1">
        <v>3.6933779851898843E-2</v>
      </c>
      <c r="M13" s="1">
        <v>4.7850156553812303E-3</v>
      </c>
      <c r="N13" s="1">
        <v>5.7186095773413048E-2</v>
      </c>
      <c r="O13" s="1">
        <v>8.8603961068100326E-3</v>
      </c>
      <c r="P13" s="1">
        <v>-2.3124149833338437E-3</v>
      </c>
      <c r="Q13" s="1">
        <v>6.4380358739674071E-2</v>
      </c>
      <c r="R13" s="1">
        <v>-7.083079413828677E-3</v>
      </c>
      <c r="S13" s="1">
        <v>2.1993831800015747E-2</v>
      </c>
      <c r="T13" s="1">
        <v>1.1924432999306454E-2</v>
      </c>
      <c r="U13" s="1">
        <v>4.1255267205014032E-2</v>
      </c>
      <c r="V13" s="1">
        <v>2.239776513192613E-2</v>
      </c>
      <c r="W13" s="1">
        <v>1.097670611209213E-2</v>
      </c>
      <c r="X13" s="1">
        <v>3.9721496893413519E-2</v>
      </c>
      <c r="Y13" s="1">
        <v>6.3430245514433561E-2</v>
      </c>
      <c r="Z13" s="1">
        <v>-1.1156975211218705E-2</v>
      </c>
      <c r="AA13" s="1">
        <v>-1.6777700087928237E-2</v>
      </c>
      <c r="AB13" s="1">
        <v>-2.2332591802004909E-2</v>
      </c>
      <c r="AC13" s="1">
        <v>2.1471055387623846E-2</v>
      </c>
      <c r="AD13" s="1">
        <v>-2.3630139429693931E-2</v>
      </c>
      <c r="AE13" s="1">
        <v>1.4335912055497576E-2</v>
      </c>
      <c r="AF13" s="1">
        <v>-1.6157057661057066E-2</v>
      </c>
      <c r="AG13" s="1">
        <v>2.0261091825475225E-2</v>
      </c>
      <c r="AH13" s="1">
        <v>3.0085816244477875E-3</v>
      </c>
      <c r="AI13" s="1">
        <v>3.3689271224586606E-2</v>
      </c>
      <c r="AJ13" s="1">
        <v>8.0282119892231101E-3</v>
      </c>
      <c r="AK13" s="1">
        <v>1.1497548912380659E-2</v>
      </c>
      <c r="AL13" s="1">
        <v>1.7012079532571573E-2</v>
      </c>
      <c r="AM13" s="1">
        <v>1.7550413535703652E-2</v>
      </c>
      <c r="AN13" s="1">
        <v>3.893916442348111E-2</v>
      </c>
      <c r="AO13" s="1">
        <v>2.2192982971027633E-2</v>
      </c>
      <c r="AP13" s="1">
        <v>4.6414664850274887E-2</v>
      </c>
      <c r="AQ13" s="1">
        <v>4.5046460752241543E-3</v>
      </c>
      <c r="AR13" s="1">
        <v>-2.5925985808278252E-2</v>
      </c>
      <c r="AS13" s="1">
        <v>5.0756550933660244E-2</v>
      </c>
      <c r="AT13" s="1">
        <v>3.1327684418071405E-3</v>
      </c>
      <c r="AU13" s="1">
        <v>9.1532036360378894E-3</v>
      </c>
      <c r="AV13" s="1">
        <v>-5.5710866096127437E-2</v>
      </c>
      <c r="AW13" s="1">
        <v>5.8192223983787863E-3</v>
      </c>
      <c r="AX13" s="1">
        <v>-1.4116004015913158E-2</v>
      </c>
      <c r="AY13" s="1">
        <v>-8.0386539645934171E-3</v>
      </c>
      <c r="AZ13" s="1">
        <v>-1.2997424691296635E-2</v>
      </c>
      <c r="BA13" s="1">
        <v>-4.7084297662204049E-3</v>
      </c>
      <c r="BB13" s="1">
        <v>1.1724988849245738E-2</v>
      </c>
      <c r="BC13" s="1">
        <v>1.6372150880038284E-2</v>
      </c>
      <c r="BD13" s="1">
        <v>-1.1821269544893008E-2</v>
      </c>
      <c r="BE13" s="1">
        <v>5.9000374757420634E-2</v>
      </c>
      <c r="BF13" s="1">
        <v>-8.0439211841049438E-3</v>
      </c>
      <c r="BG13" s="1">
        <v>-2.5903255367272077E-2</v>
      </c>
      <c r="BH13" s="1">
        <v>1.1426961439265831E-2</v>
      </c>
      <c r="BI13" s="1">
        <v>-7.397731651202364E-3</v>
      </c>
      <c r="BJ13" s="1">
        <v>-8.9213886095091191E-3</v>
      </c>
      <c r="BK13" s="1">
        <v>3.0045150276183152E-2</v>
      </c>
      <c r="BL13" s="1">
        <v>-1.6587879444918744E-2</v>
      </c>
      <c r="BM13" s="1">
        <v>-3.4981881161957086E-3</v>
      </c>
      <c r="BN13" s="1">
        <v>-4.1034608014976545E-3</v>
      </c>
      <c r="BO13" s="1">
        <v>-1.2842096240006578E-2</v>
      </c>
      <c r="BP13" s="1">
        <v>5.1746500843900339E-2</v>
      </c>
      <c r="BQ13" s="1">
        <v>2.5951007682916472E-2</v>
      </c>
      <c r="BR13" s="1">
        <v>1.8752676427220068E-2</v>
      </c>
      <c r="BS13" s="1">
        <v>-2.2835538158649776E-2</v>
      </c>
      <c r="BT13" s="1">
        <v>2.8651757000496197E-2</v>
      </c>
      <c r="BU13" s="1">
        <v>-1.3959741599118603E-2</v>
      </c>
      <c r="BV13" s="1">
        <v>2.3277342027326082E-2</v>
      </c>
      <c r="BW13" s="1">
        <v>1.0008171192023409E-3</v>
      </c>
      <c r="BX13" s="1">
        <v>-6.4690376645225797E-2</v>
      </c>
      <c r="BY13" s="1">
        <v>-1.3501066001532364E-3</v>
      </c>
      <c r="BZ13" s="1">
        <v>4.5966845973273829E-2</v>
      </c>
      <c r="CA13" s="1">
        <v>1.5747414348398193E-2</v>
      </c>
      <c r="CB13" s="1">
        <v>3.8405463609992134E-2</v>
      </c>
      <c r="CC13" s="1">
        <v>5.232171537357562E-3</v>
      </c>
      <c r="CD13" s="1">
        <v>-1.4193029209580897E-2</v>
      </c>
      <c r="CE13" s="1">
        <v>2.2631386930916365E-2</v>
      </c>
      <c r="CF13" s="1">
        <v>2.487197428933528E-2</v>
      </c>
      <c r="CG13" s="1">
        <v>1.4544554267689521E-2</v>
      </c>
      <c r="CH13" s="1">
        <v>-1.6067095552990057E-2</v>
      </c>
      <c r="CI13" s="1">
        <v>2.3147382383146798E-3</v>
      </c>
      <c r="CJ13" s="1">
        <v>5.8026742144884041E-2</v>
      </c>
      <c r="CK13" s="1">
        <v>1.3616877291590217E-2</v>
      </c>
      <c r="CL13" s="1">
        <v>-6.540986114403867E-2</v>
      </c>
      <c r="CM13" s="1">
        <v>-1.3426769515351652E-2</v>
      </c>
      <c r="CN13" s="1">
        <v>-4.77692838417626E-3</v>
      </c>
      <c r="CO13" s="1">
        <v>5.9926370362241134E-3</v>
      </c>
      <c r="CP13" s="1">
        <v>6.1793388738740518E-2</v>
      </c>
      <c r="CQ13" s="1">
        <v>3.8804030187504515E-2</v>
      </c>
      <c r="CR13" s="1">
        <v>7.6168703815908401E-4</v>
      </c>
      <c r="CS13" s="1">
        <v>-1.7670320611021695E-2</v>
      </c>
      <c r="CT13" s="1">
        <v>-7.1044767812979484E-3</v>
      </c>
      <c r="CU13" s="1">
        <v>3.3922530523988081E-2</v>
      </c>
      <c r="CV13">
        <v>-1.3339476791845287E-2</v>
      </c>
    </row>
    <row r="14" spans="1:100" ht="15" thickBot="1" x14ac:dyDescent="0.4">
      <c r="A14" s="171" t="s">
        <v>77</v>
      </c>
      <c r="B14" s="166">
        <f t="array" ref="B14">PRODUCT(1+B2:B13)</f>
        <v>1.0513077793593857</v>
      </c>
      <c r="C14" s="166">
        <f t="array" ref="C14">PRODUCT(1+C2:C13)</f>
        <v>1.1391307290652042</v>
      </c>
      <c r="D14" s="166">
        <f t="array" ref="D14">PRODUCT(1+D2:D13)</f>
        <v>0.9400139550114941</v>
      </c>
      <c r="E14" s="166">
        <f t="array" ref="E14">PRODUCT(1+E2:E13)</f>
        <v>1.2424456080028228</v>
      </c>
      <c r="F14" s="166">
        <f t="array" ref="F14">PRODUCT(1+F2:F13)</f>
        <v>0.98801093094616921</v>
      </c>
      <c r="G14" s="166">
        <f t="array" ref="G14">PRODUCT(1+G2:G13)</f>
        <v>0.97515746444539142</v>
      </c>
      <c r="H14" s="166">
        <f t="array" ref="H14">PRODUCT(1+H2:H13)</f>
        <v>0.92830732505629332</v>
      </c>
      <c r="I14" s="166">
        <f t="array" ref="I14">PRODUCT(1+I2:I13)</f>
        <v>1.0046952388505586</v>
      </c>
      <c r="J14" s="166">
        <f t="array" ref="J14">PRODUCT(1+J2:J13)</f>
        <v>1.1945784718742674</v>
      </c>
      <c r="K14" s="166">
        <f t="array" ref="K14">PRODUCT(1+K2:K13)</f>
        <v>0.92300074214938332</v>
      </c>
      <c r="L14" s="166">
        <f t="array" ref="L14">PRODUCT(1+L2:L13)</f>
        <v>1.174796810685268</v>
      </c>
      <c r="M14" s="166">
        <f t="array" ref="M14">PRODUCT(1+M2:M13)</f>
        <v>0.89502839412458768</v>
      </c>
      <c r="N14" s="166">
        <f t="array" ref="N14">PRODUCT(1+N2:N13)</f>
        <v>1.1836328351208119</v>
      </c>
      <c r="O14" s="166">
        <f t="array" ref="O14">PRODUCT(1+O2:O13)</f>
        <v>1.1516918829744776</v>
      </c>
      <c r="P14" s="166">
        <f t="array" ref="P14">PRODUCT(1+P2:P13)</f>
        <v>0.98483574353457404</v>
      </c>
      <c r="Q14" s="166">
        <f t="array" ref="Q14">PRODUCT(1+Q2:Q13)</f>
        <v>0.99006026456571494</v>
      </c>
      <c r="R14" s="166">
        <f t="array" ref="R14">PRODUCT(1+R2:R13)</f>
        <v>0.93958406591942834</v>
      </c>
      <c r="S14" s="166">
        <f t="array" ref="S14">PRODUCT(1+S2:S13)</f>
        <v>1.0978106451143603</v>
      </c>
      <c r="T14" s="166">
        <f t="array" ref="T14">PRODUCT(1+T2:T13)</f>
        <v>1.0641562028425942</v>
      </c>
      <c r="U14" s="166">
        <f t="array" ref="U14">PRODUCT(1+U2:U13)</f>
        <v>1.2745146316255465</v>
      </c>
      <c r="V14" s="166">
        <f t="array" ref="V14">PRODUCT(1+V2:V13)</f>
        <v>1.0146448220692172</v>
      </c>
      <c r="W14" s="166">
        <f t="array" ref="W14">PRODUCT(1+W2:W13)</f>
        <v>1.1076828010034787</v>
      </c>
      <c r="X14" s="166">
        <f t="array" ref="X14">PRODUCT(1+X2:X13)</f>
        <v>0.95446751167060606</v>
      </c>
      <c r="Y14" s="166">
        <f t="array" ref="Y14">PRODUCT(1+Y2:Y13)</f>
        <v>1.1590961939230857</v>
      </c>
      <c r="Z14" s="166">
        <f t="array" ref="Z14">PRODUCT(1+Z2:Z13)</f>
        <v>1.0850701127204498</v>
      </c>
      <c r="AA14" s="166">
        <f t="array" ref="AA14">PRODUCT(1+AA2:AA13)</f>
        <v>1.0476106265316372</v>
      </c>
      <c r="AB14" s="166">
        <f t="array" ref="AB14">PRODUCT(1+AB2:AB13)</f>
        <v>1.0441977376002078</v>
      </c>
      <c r="AC14" s="166">
        <f t="array" ref="AC14">PRODUCT(1+AC2:AC13)</f>
        <v>1.0280065088487671</v>
      </c>
      <c r="AD14" s="166">
        <f t="array" ref="AD14">PRODUCT(1+AD2:AD13)</f>
        <v>0.96336997894349363</v>
      </c>
      <c r="AE14" s="166">
        <f t="array" ref="AE14">PRODUCT(1+AE2:AE13)</f>
        <v>1.0627528552196823</v>
      </c>
      <c r="AF14" s="166">
        <f t="array" ref="AF14">PRODUCT(1+AF2:AF13)</f>
        <v>1.2084861904318907</v>
      </c>
      <c r="AG14" s="166">
        <f t="array" ref="AG14">PRODUCT(1+AG2:AG13)</f>
        <v>1.1042690623523648</v>
      </c>
      <c r="AH14" s="166">
        <f t="array" ref="AH14">PRODUCT(1+AH2:AH13)</f>
        <v>0.94301244224458303</v>
      </c>
      <c r="AI14" s="166">
        <f t="array" ref="AI14">PRODUCT(1+AI2:AI13)</f>
        <v>1.1142118788600097</v>
      </c>
      <c r="AJ14" s="166">
        <f t="array" ref="AJ14">PRODUCT(1+AJ2:AJ13)</f>
        <v>1.2060107193319312</v>
      </c>
      <c r="AK14" s="166">
        <f t="array" ref="AK14">PRODUCT(1+AK2:AK13)</f>
        <v>1.1745834461925211</v>
      </c>
      <c r="AL14" s="166">
        <f t="array" ref="AL14">PRODUCT(1+AL2:AL13)</f>
        <v>0.9430933775492516</v>
      </c>
      <c r="AM14" s="166">
        <f t="array" ref="AM14">PRODUCT(1+AM2:AM13)</f>
        <v>1.0644064777410704</v>
      </c>
      <c r="AN14" s="166">
        <f t="array" ref="AN14">PRODUCT(1+AN2:AN13)</f>
        <v>1.1922078159580962</v>
      </c>
      <c r="AO14" s="166">
        <f t="array" ref="AO14">PRODUCT(1+AO2:AO13)</f>
        <v>0.90029632788133396</v>
      </c>
      <c r="AP14" s="166">
        <f t="array" ref="AP14">PRODUCT(1+AP2:AP13)</f>
        <v>1.2264693428935542</v>
      </c>
      <c r="AQ14" s="166">
        <f t="array" ref="AQ14">PRODUCT(1+AQ2:AQ13)</f>
        <v>0.95020419902583653</v>
      </c>
      <c r="AR14" s="166">
        <f t="array" ref="AR14">PRODUCT(1+AR2:AR13)</f>
        <v>1.0177139687486265</v>
      </c>
      <c r="AS14" s="166">
        <f t="array" ref="AS14">PRODUCT(1+AS2:AS13)</f>
        <v>0.91508445098749902</v>
      </c>
      <c r="AT14" s="166">
        <f t="array" ref="AT14">PRODUCT(1+AT2:AT13)</f>
        <v>1.0687280773988235</v>
      </c>
      <c r="AU14" s="166">
        <f t="array" ref="AU14">PRODUCT(1+AU2:AU13)</f>
        <v>0.94536787331072258</v>
      </c>
      <c r="AV14" s="166">
        <f t="array" ref="AV14">PRODUCT(1+AV2:AV13)</f>
        <v>1.0584854518279749</v>
      </c>
      <c r="AW14" s="166">
        <f t="array" ref="AW14">PRODUCT(1+AW2:AW13)</f>
        <v>0.97811812593979797</v>
      </c>
      <c r="AX14" s="166">
        <f t="array" ref="AX14">PRODUCT(1+AX2:AX13)</f>
        <v>1.2318757095486728</v>
      </c>
      <c r="AY14" s="166">
        <f t="array" ref="AY14">PRODUCT(1+AY2:AY13)</f>
        <v>1.0700590704535158</v>
      </c>
      <c r="AZ14" s="166">
        <f t="array" ref="AZ14">PRODUCT(1+AZ2:AZ13)</f>
        <v>0.92130694143602432</v>
      </c>
      <c r="BA14" s="166">
        <f t="array" ref="BA14">PRODUCT(1+BA2:BA13)</f>
        <v>1.1175264159841201</v>
      </c>
      <c r="BB14" s="166">
        <f t="array" ref="BB14">PRODUCT(1+BB2:BB13)</f>
        <v>1.0165912148382312</v>
      </c>
      <c r="BC14" s="166">
        <f t="array" ref="BC14">PRODUCT(1+BC2:BC13)</f>
        <v>1.0771183681597456</v>
      </c>
      <c r="BD14" s="166">
        <f t="array" ref="BD14">PRODUCT(1+BD2:BD13)</f>
        <v>1.0233393650986613</v>
      </c>
      <c r="BE14" s="166">
        <f t="array" ref="BE14">PRODUCT(1+BE2:BE13)</f>
        <v>0.9942417282550432</v>
      </c>
      <c r="BF14" s="166">
        <f t="array" ref="BF14">PRODUCT(1+BF2:BF13)</f>
        <v>0.86876754755499508</v>
      </c>
      <c r="BG14" s="166">
        <f t="array" ref="BG14">PRODUCT(1+BG2:BG13)</f>
        <v>1.0236049160320895</v>
      </c>
      <c r="BH14" s="166">
        <f t="array" ref="BH14">PRODUCT(1+BH2:BH13)</f>
        <v>0.99353761757817594</v>
      </c>
      <c r="BI14" s="166">
        <f t="array" ref="BI14">PRODUCT(1+BI2:BI13)</f>
        <v>0.91975754644254404</v>
      </c>
      <c r="BJ14" s="166">
        <f t="array" ref="BJ14">PRODUCT(1+BJ2:BJ13)</f>
        <v>1.0335674350335291</v>
      </c>
      <c r="BK14" s="166">
        <f t="array" ref="BK14">PRODUCT(1+BK2:BK13)</f>
        <v>1.2457931370570776</v>
      </c>
      <c r="BL14" s="166">
        <f t="array" ref="BL14">PRODUCT(1+BL2:BL13)</f>
        <v>1.1339025183584475</v>
      </c>
      <c r="BM14" s="166">
        <f t="array" ref="BM14">PRODUCT(1+BM2:BM13)</f>
        <v>1.1467138585070495</v>
      </c>
      <c r="BN14" s="166">
        <f t="array" ref="BN14">PRODUCT(1+BN2:BN13)</f>
        <v>1.1166129287038422</v>
      </c>
      <c r="BO14" s="166">
        <f t="array" ref="BO14">PRODUCT(1+BO2:BO13)</f>
        <v>1.208576667123437</v>
      </c>
      <c r="BP14" s="166">
        <f t="array" ref="BP14">PRODUCT(1+BP2:BP13)</f>
        <v>1.1993232193445971</v>
      </c>
      <c r="BQ14" s="166">
        <f t="array" ref="BQ14">PRODUCT(1+BQ2:BQ13)</f>
        <v>1.3155847000549414</v>
      </c>
      <c r="BR14" s="166">
        <f t="array" ref="BR14">PRODUCT(1+BR2:BR13)</f>
        <v>1.2491282202355642</v>
      </c>
      <c r="BS14" s="166">
        <f t="array" ref="BS14">PRODUCT(1+BS2:BS13)</f>
        <v>0.90636920239356633</v>
      </c>
      <c r="BT14" s="166">
        <f t="array" ref="BT14">PRODUCT(1+BT2:BT13)</f>
        <v>1.1717567154572606</v>
      </c>
      <c r="BU14" s="166">
        <f t="array" ref="BU14">PRODUCT(1+BU2:BU13)</f>
        <v>1.195563097336197</v>
      </c>
      <c r="BV14" s="166">
        <f t="array" ref="BV14">PRODUCT(1+BV2:BV13)</f>
        <v>1.1443939185257419</v>
      </c>
      <c r="BW14" s="166">
        <f t="array" ref="BW14">PRODUCT(1+BW2:BW13)</f>
        <v>1.086411392977469</v>
      </c>
      <c r="BX14" s="166">
        <f t="array" ref="BX14">PRODUCT(1+BX2:BX13)</f>
        <v>1.0273233624464122</v>
      </c>
      <c r="BY14" s="166">
        <f t="array" ref="BY14">PRODUCT(1+BY2:BY13)</f>
        <v>1.1204134151223548</v>
      </c>
      <c r="BZ14" s="166">
        <f t="array" ref="BZ14">PRODUCT(1+BZ2:BZ13)</f>
        <v>1.4010396284193496</v>
      </c>
      <c r="CA14" s="166">
        <f t="array" ref="CA14">PRODUCT(1+CA2:CA13)</f>
        <v>1.0531379449006191</v>
      </c>
      <c r="CB14" s="166">
        <f t="array" ref="CB14">PRODUCT(1+CB2:CB13)</f>
        <v>1.318644192236224</v>
      </c>
      <c r="CC14" s="166">
        <f t="array" ref="CC14">PRODUCT(1+CC2:CC13)</f>
        <v>0.97099774571521069</v>
      </c>
      <c r="CD14" s="166">
        <f t="array" ref="CD14">PRODUCT(1+CD2:CD13)</f>
        <v>1.1166601351070364</v>
      </c>
      <c r="CE14" s="166">
        <f t="array" ref="CE14">PRODUCT(1+CE2:CE13)</f>
        <v>1.149600103660871</v>
      </c>
      <c r="CF14" s="166">
        <f t="array" ref="CF14">PRODUCT(1+CF2:CF13)</f>
        <v>1.330586058565814</v>
      </c>
      <c r="CG14" s="166">
        <f t="array" ref="CG14">PRODUCT(1+CG2:CG13)</f>
        <v>1.1491525922556469</v>
      </c>
      <c r="CH14" s="166">
        <f t="array" ref="CH14">PRODUCT(1+CH2:CH13)</f>
        <v>1.1001049888505201</v>
      </c>
      <c r="CI14" s="166">
        <f t="array" ref="CI14">PRODUCT(1+CI2:CI13)</f>
        <v>1.0411363165038419</v>
      </c>
      <c r="CJ14" s="166">
        <f t="array" ref="CJ14">PRODUCT(1+CJ2:CJ13)</f>
        <v>1.260825308376847</v>
      </c>
      <c r="CK14" s="166">
        <f t="array" ref="CK14">PRODUCT(1+CK2:CK13)</f>
        <v>1.0263262089509428</v>
      </c>
      <c r="CL14" s="166">
        <f t="array" ref="CL14">PRODUCT(1+CL2:CL13)</f>
        <v>1.1332303397844259</v>
      </c>
      <c r="CM14" s="166">
        <f t="array" ref="CM14">PRODUCT(1+CM2:CM13)</f>
        <v>0.97050259099335845</v>
      </c>
      <c r="CN14" s="166">
        <f t="array" ref="CN14">PRODUCT(1+CN2:CN13)</f>
        <v>0.91317250967693875</v>
      </c>
      <c r="CO14" s="166">
        <f t="array" ref="CO14">PRODUCT(1+CO2:CO13)</f>
        <v>1.1368029465710305</v>
      </c>
      <c r="CP14" s="166">
        <f t="array" ref="CP14">PRODUCT(1+CP2:CP13)</f>
        <v>1.161413235795338</v>
      </c>
      <c r="CQ14" s="166">
        <f t="array" ref="CQ14">PRODUCT(1+CQ2:CQ13)</f>
        <v>1.011841407235579</v>
      </c>
      <c r="CR14" s="166">
        <f t="array" ref="CR14">PRODUCT(1+CR2:CR13)</f>
        <v>0.99780902827560658</v>
      </c>
      <c r="CS14" s="166">
        <f t="array" ref="CS14">PRODUCT(1+CS2:CS13)</f>
        <v>1.0825661193811214</v>
      </c>
      <c r="CT14" s="166">
        <f t="array" ref="CT14">PRODUCT(1+CT2:CT13)</f>
        <v>1.0059292726079374</v>
      </c>
      <c r="CU14" s="166">
        <f t="array" ref="CU14">PRODUCT(1+CU2:CU13)</f>
        <v>1.071658337577019</v>
      </c>
      <c r="CV14" s="166">
        <f t="array" ref="CV14">PRODUCT(1+CV2:CV13)</f>
        <v>0.86475081428314027</v>
      </c>
    </row>
    <row r="15" spans="1:100" ht="15" thickTop="1" x14ac:dyDescent="0.35"/>
    <row r="16" spans="1:100" x14ac:dyDescent="0.35">
      <c r="B16" s="1" t="s">
        <v>101</v>
      </c>
      <c r="F16" s="17"/>
      <c r="CV16"/>
    </row>
    <row r="17" spans="100:101" x14ac:dyDescent="0.35">
      <c r="CV17"/>
    </row>
    <row r="18" spans="100:101" x14ac:dyDescent="0.35">
      <c r="CV18"/>
    </row>
    <row r="19" spans="100:101" x14ac:dyDescent="0.35">
      <c r="CV19"/>
    </row>
    <row r="20" spans="100:101" x14ac:dyDescent="0.35">
      <c r="CV20"/>
    </row>
    <row r="21" spans="100:101" x14ac:dyDescent="0.35">
      <c r="CV21"/>
    </row>
    <row r="26" spans="100:101" x14ac:dyDescent="0.35">
      <c r="CW26" s="1"/>
    </row>
    <row r="27" spans="100:101" x14ac:dyDescent="0.35">
      <c r="CW27" s="1"/>
    </row>
    <row r="28" spans="100:101" x14ac:dyDescent="0.35">
      <c r="CW28" s="1"/>
    </row>
    <row r="29" spans="100:101" x14ac:dyDescent="0.35">
      <c r="CW29" s="1"/>
    </row>
    <row r="30" spans="100:101" x14ac:dyDescent="0.35">
      <c r="CW30" s="1"/>
    </row>
    <row r="31" spans="100:101" x14ac:dyDescent="0.35">
      <c r="CW31" s="1"/>
    </row>
    <row r="32" spans="100:101" x14ac:dyDescent="0.35">
      <c r="CW32" s="1"/>
    </row>
    <row r="33" spans="3:101" x14ac:dyDescent="0.35">
      <c r="CW33" s="1"/>
    </row>
    <row r="34" spans="3:101" x14ac:dyDescent="0.35">
      <c r="D34" s="1">
        <v>1.2810466588019983E-2</v>
      </c>
      <c r="E34" s="1">
        <v>3.1404981655515044E-2</v>
      </c>
      <c r="F34" s="1">
        <v>-2.0903397009365294E-2</v>
      </c>
      <c r="H34" s="1">
        <v>-2.2268965865787475E-2</v>
      </c>
      <c r="I34" s="1">
        <v>-5.7512117667016111E-3</v>
      </c>
      <c r="CW34" s="1"/>
    </row>
    <row r="35" spans="3:101" x14ac:dyDescent="0.35">
      <c r="D35" s="1">
        <v>1.190866045078149E-2</v>
      </c>
      <c r="E35" s="1">
        <v>-5.4527092815936061E-3</v>
      </c>
      <c r="F35" s="1">
        <v>5.1420598870988744E-3</v>
      </c>
      <c r="H35" s="1">
        <v>1.4176263785055376E-3</v>
      </c>
      <c r="I35" s="1">
        <v>4.4751501816993888E-2</v>
      </c>
      <c r="CW35" s="1"/>
    </row>
    <row r="36" spans="3:101" x14ac:dyDescent="0.35">
      <c r="D36" s="1">
        <v>6.1126857837055029E-2</v>
      </c>
      <c r="E36" s="1">
        <v>2.4612070094814212E-2</v>
      </c>
      <c r="F36" s="1">
        <v>3.7688571494602571E-2</v>
      </c>
      <c r="H36" s="1">
        <v>-1.1820141177141318E-2</v>
      </c>
      <c r="I36" s="1">
        <v>1.2881279577189795E-2</v>
      </c>
      <c r="CW36" s="1"/>
    </row>
    <row r="37" spans="3:101" x14ac:dyDescent="0.35">
      <c r="D37" s="1">
        <v>-1.6019360835323994E-2</v>
      </c>
      <c r="E37" s="1">
        <v>-4.2057178960936831E-2</v>
      </c>
      <c r="F37" s="1">
        <v>4.5439355251160413E-2</v>
      </c>
      <c r="H37" s="1">
        <v>2.3428458752778086E-2</v>
      </c>
      <c r="I37" s="1">
        <v>-7.7076001192982566E-2</v>
      </c>
      <c r="CW37" s="1"/>
    </row>
    <row r="38" spans="3:101" x14ac:dyDescent="0.35">
      <c r="D38" s="1">
        <v>4.954261901075091E-3</v>
      </c>
      <c r="E38" s="1">
        <v>5.9538447384722609E-2</v>
      </c>
      <c r="F38" s="1">
        <v>2.5237492352762441E-2</v>
      </c>
      <c r="H38" s="1">
        <v>-1.6340807758162559E-2</v>
      </c>
      <c r="I38" s="1">
        <v>-5.961461704688048E-2</v>
      </c>
    </row>
    <row r="39" spans="3:101" x14ac:dyDescent="0.35">
      <c r="D39" s="1">
        <v>-4.075359467070154E-3</v>
      </c>
      <c r="E39" s="1">
        <v>3.6720491656711304E-2</v>
      </c>
      <c r="F39" s="1">
        <v>2.3219147598254743E-2</v>
      </c>
      <c r="H39" s="1">
        <v>2.6439233448060682E-2</v>
      </c>
      <c r="I39" s="1">
        <v>7.4124817152312322E-3</v>
      </c>
    </row>
    <row r="40" spans="3:101" x14ac:dyDescent="0.35">
      <c r="C40" s="1">
        <v>9.3880209989394385E-3</v>
      </c>
      <c r="D40" s="1">
        <v>-2.6121012183623931E-2</v>
      </c>
      <c r="E40" s="1">
        <v>-5.3195157885488412E-2</v>
      </c>
      <c r="F40" s="1">
        <v>5.1856605638287173E-2</v>
      </c>
      <c r="G40" s="1">
        <v>5.0953705272664199E-2</v>
      </c>
      <c r="H40" s="1">
        <v>4.6029015993132374E-4</v>
      </c>
      <c r="I40" s="1">
        <v>4.7733540069013897E-3</v>
      </c>
      <c r="J40" s="1">
        <v>-1.1006736959271141E-2</v>
      </c>
      <c r="K40" s="1">
        <v>3.0942030056643442E-3</v>
      </c>
      <c r="L40" s="1">
        <v>-4.7047729320547252E-2</v>
      </c>
      <c r="M40" s="1">
        <v>3.178579879111082E-2</v>
      </c>
      <c r="N40" s="1">
        <v>-9.966043576044277E-2</v>
      </c>
      <c r="O40" s="1">
        <v>2.1393382917844561E-3</v>
      </c>
      <c r="P40" s="1">
        <v>6.9427740002414112E-2</v>
      </c>
      <c r="Q40" s="1">
        <v>-6.8370762567186022E-4</v>
      </c>
      <c r="R40" s="1">
        <v>-3.1323251543662695E-2</v>
      </c>
      <c r="S40" s="1">
        <v>-1.686259747810176E-2</v>
      </c>
      <c r="T40" s="1">
        <v>-1.3466961146213839E-2</v>
      </c>
      <c r="U40" s="1">
        <v>5.212963939815024E-2</v>
      </c>
      <c r="V40" s="1">
        <v>4.2925652456352575E-2</v>
      </c>
      <c r="W40" s="1">
        <v>-1.6232561177249426E-2</v>
      </c>
      <c r="X40" s="1">
        <v>1.8498643049394935E-2</v>
      </c>
      <c r="Y40" s="1">
        <v>-3.8236322984301407E-2</v>
      </c>
      <c r="Z40" s="1">
        <v>7.3579728078912417E-3</v>
      </c>
      <c r="AA40" s="1">
        <v>1.5030007481832331E-2</v>
      </c>
      <c r="AB40" s="1">
        <v>2.5401745481495375E-2</v>
      </c>
      <c r="AC40" s="1">
        <v>5.9862945334945884E-3</v>
      </c>
      <c r="AD40" s="1">
        <v>-5.3754819392870315E-2</v>
      </c>
      <c r="AE40" s="1">
        <v>5.9269353474626571E-2</v>
      </c>
      <c r="AF40" s="1">
        <v>-1.1062766205015236E-2</v>
      </c>
      <c r="AG40" s="1">
        <v>3.074172601169484E-2</v>
      </c>
      <c r="AH40" s="1">
        <v>3.5151639446218178E-3</v>
      </c>
      <c r="AI40" s="1">
        <v>2.1667531730168853E-2</v>
      </c>
      <c r="AJ40" s="1">
        <v>7.7163616972004537E-2</v>
      </c>
      <c r="AK40" s="1">
        <v>3.4792797028849298E-2</v>
      </c>
      <c r="AL40" s="1">
        <v>-1.6869862173551527E-2</v>
      </c>
      <c r="AM40" s="1">
        <v>1.5856287204958363E-2</v>
      </c>
      <c r="AN40" s="1">
        <v>1.3524221101980687E-2</v>
      </c>
      <c r="AO40" s="1">
        <v>1.0759115990043656E-2</v>
      </c>
      <c r="AP40" s="1">
        <v>-5.8094338969613524E-2</v>
      </c>
      <c r="AQ40" s="1">
        <v>7.449920898210162E-2</v>
      </c>
      <c r="AR40" s="1">
        <v>4.2482287501146576E-2</v>
      </c>
      <c r="AS40" s="1">
        <v>2.2175587822214647E-2</v>
      </c>
      <c r="AT40" s="1">
        <v>-1.4492132840133329E-2</v>
      </c>
      <c r="AU40" s="1">
        <v>-6.724835089998818E-2</v>
      </c>
      <c r="AV40" s="1">
        <v>-1.1631939131734739E-2</v>
      </c>
      <c r="AW40" s="1">
        <v>4.5600406414104774E-2</v>
      </c>
      <c r="AX40" s="1">
        <v>1.0376180735072859E-2</v>
      </c>
      <c r="AY40" s="1">
        <v>4.8353476346607832E-2</v>
      </c>
      <c r="AZ40" s="1">
        <v>-1.4818037627624361E-2</v>
      </c>
      <c r="BA40" s="1">
        <v>1.0810462937712526E-3</v>
      </c>
      <c r="BB40" s="1">
        <v>-2.0969257760314015E-2</v>
      </c>
      <c r="BC40" s="1">
        <v>-6.9930243663798054E-3</v>
      </c>
      <c r="BD40" s="1">
        <v>-2.6536989955656762E-2</v>
      </c>
      <c r="BE40" s="1">
        <v>-3.0070406658200325E-2</v>
      </c>
      <c r="BF40" s="1">
        <v>-2.4077839691367033E-2</v>
      </c>
      <c r="BG40" s="1">
        <v>-5.5367522585867801E-2</v>
      </c>
      <c r="BH40" s="1">
        <v>-4.9822643157533611E-3</v>
      </c>
      <c r="BI40" s="1">
        <v>3.0457770614842714E-2</v>
      </c>
      <c r="BJ40" s="1">
        <v>-3.8465451331411951E-2</v>
      </c>
      <c r="BK40" s="1">
        <v>-3.0052881175614162E-2</v>
      </c>
      <c r="BL40" s="1">
        <v>-1.4590303215086781E-2</v>
      </c>
      <c r="BM40" s="1">
        <v>-7.059262997314188E-3</v>
      </c>
      <c r="BN40" s="1">
        <v>4.148246405856118E-2</v>
      </c>
      <c r="BO40" s="1">
        <v>-3.8428903748653098E-2</v>
      </c>
      <c r="BP40" s="1">
        <v>0.1087132685258498</v>
      </c>
      <c r="BQ40" s="1">
        <v>7.3770663275581419E-3</v>
      </c>
      <c r="BR40" s="1">
        <v>1.5911425177559006E-2</v>
      </c>
      <c r="BS40" s="1">
        <v>5.018190215523971E-2</v>
      </c>
      <c r="BT40" s="1">
        <v>-3.7664177301392453E-3</v>
      </c>
      <c r="BU40" s="1">
        <v>-1.722904842686096E-2</v>
      </c>
      <c r="BV40" s="1">
        <v>1.7391017623975089E-2</v>
      </c>
      <c r="BW40" s="1">
        <v>4.5592369519425677E-2</v>
      </c>
      <c r="BX40" s="1">
        <v>-2.0172306243922612E-2</v>
      </c>
      <c r="BY40" s="1">
        <v>-2.0034360035642063E-2</v>
      </c>
      <c r="BZ40" s="1">
        <v>2.094924730426247E-2</v>
      </c>
      <c r="CA40" s="1">
        <v>2.1241959725453868E-2</v>
      </c>
      <c r="CB40" s="1">
        <v>5.9038531910449261E-3</v>
      </c>
      <c r="CC40" s="1">
        <v>5.5134594314410632E-2</v>
      </c>
      <c r="CD40" s="1">
        <v>-7.3413152432331541E-2</v>
      </c>
      <c r="CE40" s="1">
        <v>8.1687363252891925E-3</v>
      </c>
      <c r="CF40" s="1">
        <v>9.6882808648549409E-2</v>
      </c>
      <c r="CG40" s="1">
        <v>8.5256788430974367E-2</v>
      </c>
      <c r="CH40" s="1">
        <v>7.2142571552813693E-3</v>
      </c>
      <c r="CI40" s="1">
        <v>-1.8625638816183582E-2</v>
      </c>
      <c r="CJ40" s="1">
        <v>2.1356539540752818E-2</v>
      </c>
      <c r="CK40" s="1">
        <v>3.4789260282876586E-2</v>
      </c>
      <c r="CL40" s="1">
        <v>-3.1892763485771011E-2</v>
      </c>
      <c r="CM40" s="1">
        <v>5.7035782931016632E-2</v>
      </c>
      <c r="CN40" s="1">
        <v>2.155775726356848E-2</v>
      </c>
      <c r="CO40" s="1">
        <v>4.8337117876018397E-3</v>
      </c>
      <c r="CP40" s="1">
        <v>4.4421435314899033E-3</v>
      </c>
      <c r="CQ40" s="1">
        <v>-3.0347661309447087E-2</v>
      </c>
      <c r="CR40" s="1">
        <v>4.8439606181415129E-2</v>
      </c>
      <c r="CS40" s="1">
        <v>2.1363038060477069E-2</v>
      </c>
      <c r="CT40" s="1">
        <v>2.8061784947780975E-2</v>
      </c>
      <c r="CU40" s="1">
        <v>-5.6554402372741716E-2</v>
      </c>
      <c r="CV40" s="1">
        <v>5.3290594660539148E-2</v>
      </c>
      <c r="CW40">
        <v>2.5235797598943274E-2</v>
      </c>
    </row>
    <row r="41" spans="3:101" x14ac:dyDescent="0.35">
      <c r="C41" s="1">
        <v>1.5244410943001321E-2</v>
      </c>
      <c r="D41" s="1">
        <v>1.1715016166708763E-2</v>
      </c>
      <c r="E41" s="1">
        <v>-1.3215494664471788E-2</v>
      </c>
      <c r="F41" s="1">
        <v>-3.1124180141670992E-2</v>
      </c>
      <c r="G41" s="1">
        <v>-9.4994683800341054E-2</v>
      </c>
      <c r="H41" s="1">
        <v>-1.2601464620006535E-2</v>
      </c>
      <c r="I41" s="1">
        <v>-4.3214128497002999E-2</v>
      </c>
      <c r="J41" s="1">
        <v>-2.1204918811819365E-2</v>
      </c>
      <c r="K41" s="1">
        <v>-3.8654354284986935E-3</v>
      </c>
      <c r="L41" s="1">
        <v>-4.3763468877142817E-2</v>
      </c>
      <c r="M41" s="1">
        <v>2.1423667206601674E-2</v>
      </c>
      <c r="N41" s="1">
        <v>-1.8731504482052286E-2</v>
      </c>
      <c r="O41" s="1">
        <v>8.2684079409027361E-2</v>
      </c>
      <c r="P41" s="1">
        <v>1.3604988424953605E-2</v>
      </c>
      <c r="Q41" s="1">
        <v>-1.8636247652664008E-2</v>
      </c>
      <c r="R41" s="1">
        <v>-1.7490276975144596E-3</v>
      </c>
      <c r="S41" s="1">
        <v>-3.0312480582021854E-2</v>
      </c>
      <c r="T41" s="1">
        <v>2.3260680215879244E-2</v>
      </c>
      <c r="U41" s="1">
        <v>-4.7630012269733693E-2</v>
      </c>
      <c r="V41" s="1">
        <v>2.0062494545111272E-2</v>
      </c>
      <c r="W41" s="1">
        <v>-3.8861782412507151E-2</v>
      </c>
      <c r="X41" s="1">
        <v>5.6693462940672831E-2</v>
      </c>
      <c r="Y41" s="1">
        <v>1.0111752957298855E-2</v>
      </c>
      <c r="Z41" s="1">
        <v>4.278543642232159E-4</v>
      </c>
      <c r="AA41" s="1">
        <v>7.4504678043268253E-3</v>
      </c>
      <c r="AB41" s="1">
        <v>-5.430896569691564E-3</v>
      </c>
      <c r="AC41" s="1">
        <v>-5.7188029582603134E-3</v>
      </c>
      <c r="AD41" s="1">
        <v>4.5568024089935696E-2</v>
      </c>
      <c r="AE41" s="1">
        <v>2.1856024147809535E-3</v>
      </c>
      <c r="AF41" s="1">
        <v>2.0220249003640292E-2</v>
      </c>
      <c r="AG41" s="1">
        <v>-1.7379341444911472E-2</v>
      </c>
      <c r="AH41" s="1">
        <v>6.7427187472447081E-2</v>
      </c>
      <c r="AI41" s="1">
        <v>4.0270665297012578E-2</v>
      </c>
      <c r="AJ41" s="1">
        <v>-3.415158333198564E-4</v>
      </c>
      <c r="AK41" s="1">
        <v>4.2628923525289811E-2</v>
      </c>
      <c r="AL41" s="1">
        <v>8.13850928589855E-3</v>
      </c>
      <c r="AM41" s="1">
        <v>-4.2960447043839403E-2</v>
      </c>
      <c r="AN41" s="1">
        <v>4.6695374383743049E-2</v>
      </c>
      <c r="AO41" s="1">
        <v>1.9120741403288961E-2</v>
      </c>
      <c r="AP41" s="1">
        <v>4.7556755535391095E-4</v>
      </c>
      <c r="AQ41" s="1">
        <v>-1.212175429300295E-2</v>
      </c>
      <c r="AR41" s="1">
        <v>2.4938342626568202E-2</v>
      </c>
      <c r="AS41" s="1">
        <v>7.6859425538391302E-3</v>
      </c>
      <c r="AT41" s="1">
        <v>-5.5551982065774469E-2</v>
      </c>
      <c r="AU41" s="1">
        <v>4.2151075771251933E-2</v>
      </c>
      <c r="AV41" s="1">
        <v>2.1097674022152412E-2</v>
      </c>
      <c r="AW41" s="1">
        <v>1.8896009602203901E-3</v>
      </c>
      <c r="AX41" s="1">
        <v>3.2269655874478803E-2</v>
      </c>
      <c r="AY41" s="1">
        <v>2.2014707882007989E-2</v>
      </c>
      <c r="AZ41" s="1">
        <v>-4.1071075373412647E-2</v>
      </c>
      <c r="BA41" s="1">
        <v>-1.8043374074495307E-2</v>
      </c>
      <c r="BB41" s="1">
        <v>4.7246020374216033E-2</v>
      </c>
      <c r="BC41" s="1">
        <v>1.3751546038459468E-2</v>
      </c>
      <c r="BD41" s="1">
        <v>-3.8691952159612977E-2</v>
      </c>
      <c r="BE41" s="1">
        <v>9.5086665864535739E-3</v>
      </c>
      <c r="BF41" s="1">
        <v>-5.6226505151873458E-3</v>
      </c>
      <c r="BG41" s="1">
        <v>7.2300110731595132E-2</v>
      </c>
      <c r="BH41" s="1">
        <v>5.824462860609024E-3</v>
      </c>
      <c r="BI41" s="1">
        <v>1.9407972247766518E-2</v>
      </c>
      <c r="BJ41" s="1">
        <v>-4.3191424419930357E-3</v>
      </c>
      <c r="BK41" s="1">
        <v>-2.1544398604418626E-2</v>
      </c>
      <c r="BL41" s="1">
        <v>8.4890262508867231E-3</v>
      </c>
      <c r="BM41" s="1">
        <v>2.1521231445086341E-2</v>
      </c>
      <c r="BN41" s="1">
        <v>4.7977319023453967E-3</v>
      </c>
      <c r="BO41" s="1">
        <v>6.1168500465711484E-2</v>
      </c>
      <c r="BP41" s="1">
        <v>3.3483656420333657E-2</v>
      </c>
      <c r="BQ41" s="1">
        <v>2.9529051966754434E-2</v>
      </c>
      <c r="BR41" s="1">
        <v>2.1238340020268885E-2</v>
      </c>
      <c r="BS41" s="1">
        <v>6.3299897144901661E-3</v>
      </c>
      <c r="BT41" s="1">
        <v>-2.6276064329895616E-2</v>
      </c>
      <c r="BU41" s="1">
        <v>1.4779945408862032E-2</v>
      </c>
      <c r="BV41" s="1">
        <v>7.2834943145130464E-3</v>
      </c>
      <c r="BW41" s="1">
        <v>6.7005732346273966E-2</v>
      </c>
      <c r="BX41" s="1">
        <v>-3.99625223174708E-2</v>
      </c>
      <c r="BY41" s="1">
        <v>1.6707677634214615E-2</v>
      </c>
      <c r="BZ41" s="1">
        <v>3.8734651754886107E-2</v>
      </c>
      <c r="CA41" s="1">
        <v>8.3063376492066698E-3</v>
      </c>
      <c r="CB41" s="1">
        <v>2.4956760708605679E-4</v>
      </c>
      <c r="CC41" s="1">
        <v>3.1346030446374087E-2</v>
      </c>
      <c r="CD41" s="1">
        <v>-4.6835869022811227E-2</v>
      </c>
      <c r="CE41" s="1">
        <v>-4.0513395390732482E-2</v>
      </c>
      <c r="CF41" s="1">
        <v>3.9956879180670576E-3</v>
      </c>
      <c r="CG41" s="1">
        <v>7.9551466968215176E-2</v>
      </c>
      <c r="CH41" s="1">
        <v>7.8183381653441405E-3</v>
      </c>
      <c r="CI41" s="1">
        <v>3.0274688575209759E-2</v>
      </c>
      <c r="CJ41" s="1">
        <v>-2.3294481539175856E-2</v>
      </c>
      <c r="CK41" s="1">
        <v>-4.7546087992839207E-3</v>
      </c>
      <c r="CL41" s="1">
        <v>-9.6055229247987775E-3</v>
      </c>
      <c r="CM41" s="1">
        <v>1.053056435564452E-2</v>
      </c>
      <c r="CN41" s="1">
        <v>-1.657317242138847E-2</v>
      </c>
      <c r="CO41" s="1">
        <v>-2.1231016575442629E-2</v>
      </c>
      <c r="CP41" s="1">
        <v>8.0632000108370409E-3</v>
      </c>
      <c r="CQ41" s="1">
        <v>2.7100541659370168E-2</v>
      </c>
      <c r="CR41" s="1">
        <v>7.2396005352121415E-2</v>
      </c>
      <c r="CS41" s="1">
        <v>3.4318810634454855E-2</v>
      </c>
      <c r="CT41" s="1">
        <v>-2.4403178466484748E-2</v>
      </c>
      <c r="CU41" s="1">
        <v>8.771603140922915E-3</v>
      </c>
      <c r="CV41" s="1">
        <v>5.7455360200222544E-2</v>
      </c>
      <c r="CW41">
        <v>-4.3619440797507292E-2</v>
      </c>
    </row>
    <row r="42" spans="3:101" x14ac:dyDescent="0.35">
      <c r="C42" s="1">
        <v>1.1069398540377844E-2</v>
      </c>
      <c r="D42" s="1">
        <v>5.7252995750847371E-2</v>
      </c>
      <c r="E42" s="1">
        <v>-3.5894107171558068E-2</v>
      </c>
      <c r="F42" s="1">
        <v>3.3851210818728439E-2</v>
      </c>
      <c r="G42" s="1">
        <v>-4.329821215891666E-2</v>
      </c>
      <c r="H42" s="1">
        <v>-1.307308127271949E-2</v>
      </c>
      <c r="I42" s="1">
        <v>2.4043980099023556E-2</v>
      </c>
      <c r="J42" s="1">
        <v>5.1019025243889821E-2</v>
      </c>
      <c r="K42" s="1">
        <v>5.5464013476239291E-2</v>
      </c>
      <c r="L42" s="1">
        <v>4.7259206347099098E-2</v>
      </c>
      <c r="M42" s="1">
        <v>-3.7164818536950611E-2</v>
      </c>
      <c r="N42" s="1">
        <v>-3.988374986319862E-2</v>
      </c>
      <c r="O42" s="1">
        <v>1.8162991363873022E-2</v>
      </c>
      <c r="P42" s="1">
        <v>-1.4783544368962637E-2</v>
      </c>
      <c r="Q42" s="1">
        <v>-2.5492241492641388E-2</v>
      </c>
      <c r="R42" s="1">
        <v>1.4004767406754569E-2</v>
      </c>
      <c r="S42" s="1">
        <v>-1.152535397982633E-2</v>
      </c>
      <c r="T42" s="1">
        <v>-1.8442392259010808E-2</v>
      </c>
      <c r="U42" s="1">
        <v>3.9483176595532576E-2</v>
      </c>
      <c r="V42" s="1">
        <v>4.589623715995883E-2</v>
      </c>
      <c r="W42" s="1">
        <v>-2.3657386689548417E-2</v>
      </c>
      <c r="X42" s="1">
        <v>4.202779306072639E-2</v>
      </c>
      <c r="Y42" s="1">
        <v>-3.2722532659192043E-3</v>
      </c>
      <c r="Z42" s="1">
        <v>-2.4944015146604565E-2</v>
      </c>
      <c r="AA42" s="1">
        <v>2.6124357549299978E-2</v>
      </c>
      <c r="AB42" s="1">
        <v>1.1872208364387238E-2</v>
      </c>
      <c r="AC42" s="1">
        <v>8.4753168840479981E-3</v>
      </c>
      <c r="AD42" s="1">
        <v>-1.5134951133731606E-2</v>
      </c>
      <c r="AE42" s="1">
        <v>2.6187300978406949E-2</v>
      </c>
      <c r="AF42" s="1">
        <v>9.0379276183013106E-3</v>
      </c>
      <c r="AG42" s="1">
        <v>-9.7753874181793383E-3</v>
      </c>
      <c r="AH42" s="1">
        <v>-2.4109454989122012E-2</v>
      </c>
      <c r="AI42" s="1">
        <v>7.5528431154991841E-3</v>
      </c>
      <c r="AJ42" s="1">
        <v>-4.59795952320768E-2</v>
      </c>
      <c r="AK42" s="1">
        <v>1.4662250009828359E-2</v>
      </c>
      <c r="AL42" s="1">
        <v>-1.560525609964309E-2</v>
      </c>
      <c r="AM42" s="1">
        <v>4.0692710720868192E-2</v>
      </c>
      <c r="AN42" s="1">
        <v>-7.6914296419615946E-3</v>
      </c>
      <c r="AO42" s="1">
        <v>8.8895133834758933E-3</v>
      </c>
      <c r="AP42" s="1">
        <v>-2.7731624401400309E-2</v>
      </c>
      <c r="AQ42" s="1">
        <v>1.0797274766422511E-2</v>
      </c>
      <c r="AR42" s="1">
        <v>-2.8495670821682941E-2</v>
      </c>
      <c r="AS42" s="1">
        <v>-1.1146246220209068E-2</v>
      </c>
      <c r="AT42" s="1">
        <v>-4.5562084578890827E-2</v>
      </c>
      <c r="AU42" s="1">
        <v>2.2109943778360095E-2</v>
      </c>
      <c r="AV42" s="1">
        <v>1.9065416136992381E-2</v>
      </c>
      <c r="AW42" s="1">
        <v>-1.1388973175814172E-2</v>
      </c>
      <c r="AX42" s="1">
        <v>1.7877077819840437E-2</v>
      </c>
      <c r="AY42" s="1">
        <v>3.2973405849365985E-2</v>
      </c>
      <c r="AZ42" s="1">
        <v>3.0624034786023827E-2</v>
      </c>
      <c r="BA42" s="1">
        <v>4.3030849318668685E-2</v>
      </c>
      <c r="BB42" s="1">
        <v>8.3425186263729485E-3</v>
      </c>
      <c r="BC42" s="1">
        <v>-6.7764529154584335E-2</v>
      </c>
      <c r="BD42" s="1">
        <v>2.634415689462527E-2</v>
      </c>
      <c r="BE42" s="1">
        <v>-1.6928213886507414E-2</v>
      </c>
      <c r="BF42" s="1">
        <v>6.0280730628232762E-3</v>
      </c>
      <c r="BG42" s="1">
        <v>1.4422887015650662E-2</v>
      </c>
      <c r="BH42" s="1">
        <v>1.5347907082834511E-2</v>
      </c>
      <c r="BI42" s="1">
        <v>2.2542084585012716E-2</v>
      </c>
      <c r="BJ42" s="1">
        <v>2.8012964710373785E-2</v>
      </c>
      <c r="BK42" s="1">
        <v>4.9075444333024493E-2</v>
      </c>
      <c r="BL42" s="1">
        <v>3.8817682292395392E-2</v>
      </c>
      <c r="BM42" s="1">
        <v>7.4463652852007636E-2</v>
      </c>
      <c r="BN42" s="1">
        <v>2.3752972715739975E-2</v>
      </c>
      <c r="BO42" s="1">
        <v>4.6413853801821794E-2</v>
      </c>
      <c r="BP42" s="1">
        <v>2.7884298746022142E-2</v>
      </c>
      <c r="BQ42" s="1">
        <v>2.5167201557334144E-2</v>
      </c>
      <c r="BR42" s="1">
        <v>-2.6886580454381057E-2</v>
      </c>
      <c r="BS42" s="1">
        <v>5.3314544421054363E-2</v>
      </c>
      <c r="BT42" s="1">
        <v>4.204917980116317E-2</v>
      </c>
      <c r="BU42" s="1">
        <v>6.0375711787745645E-2</v>
      </c>
      <c r="BV42" s="1">
        <v>-2.0031165709546807E-2</v>
      </c>
      <c r="BW42" s="1">
        <v>5.5573210081798566E-2</v>
      </c>
      <c r="BX42" s="1">
        <v>2.8118530224132254E-2</v>
      </c>
      <c r="BY42" s="1">
        <v>-8.0521915249685879E-3</v>
      </c>
      <c r="BZ42" s="1">
        <v>-9.8245447083571379E-3</v>
      </c>
      <c r="CA42" s="1">
        <v>1.4615000970006876E-2</v>
      </c>
      <c r="CB42" s="1">
        <v>1.1533868435753783E-2</v>
      </c>
      <c r="CC42" s="1">
        <v>2.6091807499607492E-2</v>
      </c>
      <c r="CD42" s="1">
        <v>1.2949534928931429E-2</v>
      </c>
      <c r="CE42" s="1">
        <v>5.5948443410039031E-2</v>
      </c>
      <c r="CF42" s="1">
        <v>-3.155087160998471E-2</v>
      </c>
      <c r="CG42" s="1">
        <v>9.9283363165411087E-3</v>
      </c>
      <c r="CH42" s="1">
        <v>-1.6204609272740401E-2</v>
      </c>
      <c r="CI42" s="1">
        <v>-6.4841846687826252E-3</v>
      </c>
      <c r="CJ42" s="1">
        <v>-3.3985382891570694E-3</v>
      </c>
      <c r="CK42" s="1">
        <v>1.1338785621515576E-2</v>
      </c>
      <c r="CL42" s="1">
        <v>-1.6575738461537547E-2</v>
      </c>
      <c r="CM42" s="1">
        <v>-3.1416155465407741E-2</v>
      </c>
      <c r="CN42" s="1">
        <v>-2.2077135573285212E-2</v>
      </c>
      <c r="CO42" s="1">
        <v>-3.3497311977488384E-2</v>
      </c>
      <c r="CP42" s="1">
        <v>4.8218091208816663E-2</v>
      </c>
      <c r="CQ42" s="1">
        <v>-2.9710137779332384E-2</v>
      </c>
      <c r="CR42" s="1">
        <v>-1.4670302741646893E-2</v>
      </c>
      <c r="CS42" s="1">
        <v>-2.5290269925129765E-3</v>
      </c>
      <c r="CT42" s="1">
        <v>6.8833322120680343E-2</v>
      </c>
      <c r="CU42" s="1">
        <v>2.7906495204553933E-2</v>
      </c>
      <c r="CV42" s="1">
        <v>1.6956686476183785E-2</v>
      </c>
      <c r="CW42">
        <v>2.5820881151773487E-2</v>
      </c>
    </row>
    <row r="43" spans="3:101" x14ac:dyDescent="0.35">
      <c r="C43" s="1">
        <v>-5.1412322635243882E-2</v>
      </c>
      <c r="D43" s="1">
        <v>3.2444391255985236E-2</v>
      </c>
      <c r="E43" s="1">
        <v>-3.8467198960001753E-2</v>
      </c>
      <c r="F43" s="1">
        <v>-1.9588818573527744E-2</v>
      </c>
      <c r="G43" s="1">
        <v>5.0267936717274003E-2</v>
      </c>
      <c r="H43" s="1">
        <v>5.278180152343076E-2</v>
      </c>
      <c r="I43" s="1">
        <v>2.8646572475926051E-2</v>
      </c>
      <c r="J43" s="1">
        <v>-3.1301115095181443E-3</v>
      </c>
      <c r="K43" s="1">
        <v>5.6172597767360388E-2</v>
      </c>
      <c r="L43" s="1">
        <v>3.0851342874582768E-2</v>
      </c>
      <c r="M43" s="1">
        <v>1.2891125793772948E-2</v>
      </c>
      <c r="N43" s="1">
        <v>-8.0340483002432211E-3</v>
      </c>
      <c r="O43" s="1">
        <v>3.9410447152878392E-2</v>
      </c>
      <c r="P43" s="1">
        <v>1.7428302761646171E-3</v>
      </c>
      <c r="Q43" s="1">
        <v>6.1579954561311306E-4</v>
      </c>
      <c r="R43" s="1">
        <v>-1.5892738307780017E-2</v>
      </c>
      <c r="S43" s="1">
        <v>6.2810402841985621E-2</v>
      </c>
      <c r="T43" s="1">
        <v>6.2206241800594995E-3</v>
      </c>
      <c r="U43" s="1">
        <v>-1.382284651000815E-3</v>
      </c>
      <c r="V43" s="1">
        <v>2.976623474447419E-2</v>
      </c>
      <c r="W43" s="1">
        <v>-1.0129372043497696E-2</v>
      </c>
      <c r="X43" s="1">
        <v>8.0793669050522373E-3</v>
      </c>
      <c r="Y43" s="1">
        <v>-1.846585110266959E-2</v>
      </c>
      <c r="Z43" s="1">
        <v>-9.475371478711643E-3</v>
      </c>
      <c r="AA43" s="1">
        <v>4.5190329916521346E-2</v>
      </c>
      <c r="AB43" s="1">
        <v>1.4053009743289335E-3</v>
      </c>
      <c r="AC43" s="1">
        <v>-1.7191289172600294E-2</v>
      </c>
      <c r="AD43" s="1">
        <v>-2.3400799151584547E-2</v>
      </c>
      <c r="AE43" s="1">
        <v>-6.6234337700668583E-2</v>
      </c>
      <c r="AF43" s="1">
        <v>-3.5799841469418961E-2</v>
      </c>
      <c r="AG43" s="1">
        <v>3.3890690505570337E-2</v>
      </c>
      <c r="AH43" s="1">
        <v>-3.2829049957170231E-2</v>
      </c>
      <c r="AI43" s="1">
        <v>4.6476050593489944E-3</v>
      </c>
      <c r="AJ43" s="1">
        <v>3.5052386150598497E-2</v>
      </c>
      <c r="AK43" s="1">
        <v>-3.5342431469360305E-3</v>
      </c>
      <c r="AL43" s="1">
        <v>2.4864131558499009E-2</v>
      </c>
      <c r="AM43" s="1">
        <v>1.1498560687737493E-2</v>
      </c>
      <c r="AN43" s="1">
        <v>7.4742161204697016E-3</v>
      </c>
      <c r="AO43" s="1">
        <v>-1.4579843772174472E-3</v>
      </c>
      <c r="AP43" s="1">
        <v>-2.4509206507209082E-2</v>
      </c>
      <c r="AQ43" s="1">
        <v>9.1656433715522102E-3</v>
      </c>
      <c r="AR43" s="1">
        <v>-1.7950511957784635E-2</v>
      </c>
      <c r="AS43" s="1">
        <v>1.4328630185178371E-2</v>
      </c>
      <c r="AT43" s="1">
        <v>3.250793510533688E-2</v>
      </c>
      <c r="AU43" s="1">
        <v>-8.1143727525206481E-3</v>
      </c>
      <c r="AV43" s="1">
        <v>-3.7130777750098931E-2</v>
      </c>
      <c r="AW43" s="1">
        <v>-6.7092925927522196E-2</v>
      </c>
      <c r="AX43" s="1">
        <v>1.4517238785109188E-2</v>
      </c>
      <c r="AY43" s="1">
        <v>-8.9360607235664906E-3</v>
      </c>
      <c r="AZ43" s="1">
        <v>1.2185999516348821E-2</v>
      </c>
      <c r="BA43" s="1">
        <v>-1.3317900514174939E-2</v>
      </c>
      <c r="BB43" s="1">
        <v>5.0819252113606425E-2</v>
      </c>
      <c r="BC43" s="1">
        <v>-6.538974880102074E-4</v>
      </c>
      <c r="BD43" s="1">
        <v>-3.4135590593060122E-2</v>
      </c>
      <c r="BE43" s="1">
        <v>1.5593378976600828E-2</v>
      </c>
      <c r="BF43" s="1">
        <v>-1.1754983299746509E-2</v>
      </c>
      <c r="BG43" s="1">
        <v>-4.6830481589071327E-2</v>
      </c>
      <c r="BH43" s="1">
        <v>1.0900768592283434E-2</v>
      </c>
      <c r="BI43" s="1">
        <v>2.6304018770437889E-2</v>
      </c>
      <c r="BJ43" s="1">
        <v>-4.9794346703088532E-3</v>
      </c>
      <c r="BK43" s="1">
        <v>2.1413050816876802E-2</v>
      </c>
      <c r="BL43" s="1">
        <v>6.4634152890781747E-3</v>
      </c>
      <c r="BM43" s="1">
        <v>-2.8731242523414826E-2</v>
      </c>
      <c r="BN43" s="1">
        <v>4.0035587576864817E-2</v>
      </c>
      <c r="BO43" s="1">
        <v>1.4822352498970555E-3</v>
      </c>
      <c r="BP43" s="1">
        <v>5.0263028544297872E-3</v>
      </c>
      <c r="BQ43" s="1">
        <v>-1.473564777705768E-3</v>
      </c>
      <c r="BR43" s="1">
        <v>2.0796107696702419E-2</v>
      </c>
      <c r="BS43" s="1">
        <v>4.2461720348042478E-2</v>
      </c>
      <c r="BT43" s="1">
        <v>-4.5901990668015188E-2</v>
      </c>
      <c r="BU43" s="1">
        <v>4.5894810930872998E-2</v>
      </c>
      <c r="BV43" s="1">
        <v>-3.4629263675369865E-2</v>
      </c>
      <c r="BW43" s="1">
        <v>-2.2999058058963323E-2</v>
      </c>
      <c r="BX43" s="1">
        <v>3.7648146003723612E-2</v>
      </c>
      <c r="BY43" s="1">
        <v>7.9800551424103069E-2</v>
      </c>
      <c r="BZ43" s="1">
        <v>7.4827093165295497E-4</v>
      </c>
      <c r="CA43" s="1">
        <v>5.392271557069335E-2</v>
      </c>
      <c r="CB43" s="1">
        <v>1.5238743468351008E-2</v>
      </c>
      <c r="CC43" s="1">
        <v>4.4690265296245035E-2</v>
      </c>
      <c r="CD43" s="1">
        <v>-7.1668873939464382E-3</v>
      </c>
      <c r="CE43" s="1">
        <v>-3.2235441804910017E-2</v>
      </c>
      <c r="CF43" s="1">
        <v>-1.6283998639440658E-2</v>
      </c>
      <c r="CG43" s="1">
        <v>4.687869523720925E-2</v>
      </c>
      <c r="CH43" s="1">
        <v>5.8633265402124567E-3</v>
      </c>
      <c r="CI43" s="1">
        <v>7.3448917256200882E-2</v>
      </c>
      <c r="CJ43" s="1">
        <v>-1.7661201213423693E-2</v>
      </c>
      <c r="CK43" s="1">
        <v>5.9231958078263702E-2</v>
      </c>
      <c r="CL43" s="1">
        <v>7.3621114440709789E-2</v>
      </c>
      <c r="CM43" s="1">
        <v>0.11103750342381272</v>
      </c>
      <c r="CN43" s="1">
        <v>3.2807570464038149E-2</v>
      </c>
      <c r="CO43" s="1">
        <v>1.7329718349236259E-2</v>
      </c>
      <c r="CP43" s="1">
        <v>1.0042706892429091E-3</v>
      </c>
      <c r="CQ43" s="1">
        <v>2.2710716178178277E-2</v>
      </c>
      <c r="CR43" s="1">
        <v>-1.9627365391422832E-2</v>
      </c>
      <c r="CS43" s="1">
        <v>-3.4569179629939453E-2</v>
      </c>
      <c r="CT43" s="1">
        <v>3.2348920602043661E-2</v>
      </c>
      <c r="CU43" s="1">
        <v>-1.050876301050107E-2</v>
      </c>
      <c r="CV43" s="1">
        <v>-3.4434103593122434E-2</v>
      </c>
      <c r="CW43">
        <v>-2.1881584637816583E-2</v>
      </c>
    </row>
    <row r="44" spans="3:101" x14ac:dyDescent="0.35">
      <c r="C44" s="1">
        <v>-6.955237497306109E-3</v>
      </c>
      <c r="D44" s="1">
        <v>-2.9047748891558554E-3</v>
      </c>
      <c r="E44" s="1">
        <v>6.5382507149646437E-4</v>
      </c>
      <c r="F44" s="1">
        <v>-8.972356286825571E-4</v>
      </c>
      <c r="G44" s="1">
        <v>2.9753518465077712E-2</v>
      </c>
      <c r="H44" s="1">
        <v>-6.0439475038601448E-2</v>
      </c>
      <c r="I44" s="1">
        <v>-4.1757380131358171E-3</v>
      </c>
      <c r="J44" s="1">
        <v>-4.2189271075430301E-2</v>
      </c>
      <c r="K44" s="1">
        <v>7.5116233296263935E-2</v>
      </c>
      <c r="L44" s="1">
        <v>-1.1189817932979872E-2</v>
      </c>
      <c r="M44" s="1">
        <v>-1.7118334163071052E-2</v>
      </c>
      <c r="N44" s="1">
        <v>7.8307176014699269E-3</v>
      </c>
      <c r="O44" s="1">
        <v>1.6924081168094442E-2</v>
      </c>
      <c r="P44" s="1">
        <v>1.848253710988151E-2</v>
      </c>
      <c r="Q44" s="1">
        <v>-4.1557338175066214E-3</v>
      </c>
      <c r="R44" s="1">
        <v>4.8316667234097298E-3</v>
      </c>
      <c r="S44" s="1">
        <v>-9.8540590963085116E-3</v>
      </c>
      <c r="T44" s="1">
        <v>1.1695218672392284E-2</v>
      </c>
      <c r="U44" s="1">
        <v>6.6075829321530465E-3</v>
      </c>
      <c r="V44" s="1">
        <v>5.5087285139000852E-2</v>
      </c>
      <c r="W44" s="1">
        <v>2.5363042539777329E-2</v>
      </c>
      <c r="X44" s="1">
        <v>-1.7450665764239041E-2</v>
      </c>
      <c r="Y44" s="1">
        <v>-2.9533363915102927E-2</v>
      </c>
      <c r="Z44" s="1">
        <v>6.2138179702610333E-2</v>
      </c>
      <c r="AA44" s="1">
        <v>1.7641047438882541E-2</v>
      </c>
      <c r="AB44" s="1">
        <v>5.1856299868177858E-2</v>
      </c>
      <c r="AC44" s="1">
        <v>2.1371005019856285E-2</v>
      </c>
      <c r="AD44" s="1">
        <v>-5.1355474828736092E-2</v>
      </c>
      <c r="AE44" s="1">
        <v>-7.4641592187236552E-3</v>
      </c>
      <c r="AF44" s="1">
        <v>5.3424846613043697E-2</v>
      </c>
      <c r="AG44" s="1">
        <v>2.1716798513478186E-2</v>
      </c>
      <c r="AH44" s="1">
        <v>2.7848730572790229E-3</v>
      </c>
      <c r="AI44" s="1">
        <v>-2.8776440283523119E-2</v>
      </c>
      <c r="AJ44" s="1">
        <v>-1.0494307879639647E-2</v>
      </c>
      <c r="AK44" s="1">
        <v>-3.6141386299300082E-2</v>
      </c>
      <c r="AL44" s="1">
        <v>4.127501825289352E-3</v>
      </c>
      <c r="AM44" s="1">
        <v>-4.4678957638858041E-2</v>
      </c>
      <c r="AN44" s="1">
        <v>1.1681290856754199E-2</v>
      </c>
      <c r="AO44" s="1">
        <v>-1.203995854780808E-2</v>
      </c>
      <c r="AP44" s="1">
        <v>-1.2313544316994891E-3</v>
      </c>
      <c r="AQ44" s="1">
        <v>1.9265668133121673E-2</v>
      </c>
      <c r="AR44" s="1">
        <v>3.2378199567344557E-2</v>
      </c>
      <c r="AS44" s="1">
        <v>-6.9590607171512206E-2</v>
      </c>
      <c r="AT44" s="1">
        <v>2.0604862646170251E-2</v>
      </c>
      <c r="AU44" s="1">
        <v>-2.1049740278546239E-2</v>
      </c>
      <c r="AV44" s="1">
        <v>6.5504580993930922E-3</v>
      </c>
      <c r="AW44" s="1">
        <v>9.7519067277384033E-2</v>
      </c>
      <c r="AX44" s="1">
        <v>-3.0384875100623262E-2</v>
      </c>
      <c r="AY44" s="1">
        <v>7.7236437561343532E-2</v>
      </c>
      <c r="AZ44" s="1">
        <v>3.2072773115632558E-2</v>
      </c>
      <c r="BA44" s="1">
        <v>2.2946937376461113E-2</v>
      </c>
      <c r="BB44" s="1">
        <v>7.0255391117869909E-2</v>
      </c>
      <c r="BC44" s="1">
        <v>3.8122495566340384E-2</v>
      </c>
      <c r="BD44" s="1">
        <v>5.0672412129990047E-2</v>
      </c>
      <c r="BE44" s="1">
        <v>-5.2600722471667569E-3</v>
      </c>
      <c r="BF44" s="1">
        <v>1.8520479521082864E-2</v>
      </c>
      <c r="BG44" s="1">
        <v>-4.2114801486574274E-2</v>
      </c>
      <c r="BH44" s="1">
        <v>1.0809353269972751E-2</v>
      </c>
      <c r="BI44" s="1">
        <v>-1.39634679035824E-2</v>
      </c>
      <c r="BJ44" s="1">
        <v>-1.9106233362601952E-2</v>
      </c>
      <c r="BK44" s="1">
        <v>-9.0942194756433725E-3</v>
      </c>
      <c r="BL44" s="1">
        <v>2.60402027007187E-2</v>
      </c>
      <c r="BM44" s="1">
        <v>1.3698247104993389E-2</v>
      </c>
      <c r="BN44" s="1">
        <v>-4.1642878302377544E-3</v>
      </c>
      <c r="BO44" s="1">
        <v>4.5631405870722314E-2</v>
      </c>
      <c r="BP44" s="1">
        <v>2.6630291538828604E-3</v>
      </c>
      <c r="BQ44" s="1">
        <v>1.7591099705407242E-2</v>
      </c>
      <c r="BR44" s="1">
        <v>7.6200386329256676E-3</v>
      </c>
      <c r="BS44" s="1">
        <v>2.2813924545727504E-2</v>
      </c>
      <c r="BT44" s="1">
        <v>1.9642907467538676E-3</v>
      </c>
      <c r="BU44" s="1">
        <v>4.9242988689499837E-3</v>
      </c>
      <c r="BV44" s="1">
        <v>1.8483444830133179E-2</v>
      </c>
      <c r="BW44" s="1">
        <v>4.0102010746024888E-3</v>
      </c>
      <c r="BX44" s="1">
        <v>-5.5438825111602981E-3</v>
      </c>
      <c r="BY44" s="1">
        <v>-6.1933849967852651E-3</v>
      </c>
      <c r="BZ44" s="1">
        <v>1.2405779619506795E-2</v>
      </c>
      <c r="CA44" s="1">
        <v>6.3955336382198441E-2</v>
      </c>
      <c r="CB44" s="1">
        <v>7.6720531270968442E-3</v>
      </c>
      <c r="CC44" s="1">
        <v>3.8289191336201636E-2</v>
      </c>
      <c r="CD44" s="1">
        <v>2.3309452144869236E-2</v>
      </c>
      <c r="CE44" s="1">
        <v>-1.3016234825671096E-2</v>
      </c>
      <c r="CF44" s="1">
        <v>5.061782004406724E-3</v>
      </c>
      <c r="CG44" s="1">
        <v>2.3237883149209548E-2</v>
      </c>
      <c r="CH44" s="1">
        <v>4.4371895324430794E-3</v>
      </c>
      <c r="CI44" s="1">
        <v>-1.2696319043571786E-2</v>
      </c>
      <c r="CJ44" s="1">
        <v>3.6386141363793666E-2</v>
      </c>
      <c r="CK44" s="1">
        <v>9.2316830777871735E-3</v>
      </c>
      <c r="CL44" s="1">
        <v>8.672679257368629E-3</v>
      </c>
      <c r="CM44" s="1">
        <v>1.4085545948160574E-2</v>
      </c>
      <c r="CN44" s="1">
        <v>1.6013161239805822E-2</v>
      </c>
      <c r="CO44" s="1">
        <v>-3.5309266179149687E-2</v>
      </c>
      <c r="CP44" s="1">
        <v>3.198846296623834E-3</v>
      </c>
      <c r="CQ44" s="1">
        <v>-4.0275317747180669E-2</v>
      </c>
      <c r="CR44" s="1">
        <v>-4.1541220390638137E-2</v>
      </c>
      <c r="CS44" s="1">
        <v>1.8447903628151768E-2</v>
      </c>
      <c r="CT44" s="1">
        <v>-6.1534902792266116E-3</v>
      </c>
      <c r="CU44" s="1">
        <v>1.3360617597072471E-3</v>
      </c>
      <c r="CV44" s="1">
        <v>-6.9622144303623096E-3</v>
      </c>
      <c r="CW44">
        <v>-9.5548287490820269E-3</v>
      </c>
    </row>
    <row r="45" spans="3:101" x14ac:dyDescent="0.35">
      <c r="C45" s="1">
        <v>2.3470547724655236E-2</v>
      </c>
      <c r="D45" s="1">
        <v>-8.181926914099762E-3</v>
      </c>
      <c r="E45" s="1">
        <v>-1.9276263970702694E-2</v>
      </c>
      <c r="F45" s="1">
        <v>7.4890600596409798E-2</v>
      </c>
      <c r="G45" s="1">
        <v>1.7965627497126803E-2</v>
      </c>
      <c r="H45" s="1">
        <v>1.1412396748587503E-2</v>
      </c>
      <c r="I45" s="1">
        <v>6.8102275586124934E-4</v>
      </c>
      <c r="J45" s="1">
        <v>6.420388656213972E-3</v>
      </c>
      <c r="K45" s="1">
        <v>3.4205155363202053E-2</v>
      </c>
      <c r="L45" s="1">
        <v>-2.0640045936033549E-2</v>
      </c>
      <c r="M45" s="1">
        <v>5.1215127857326584E-2</v>
      </c>
      <c r="N45" s="1">
        <v>-1.5940462850815195E-2</v>
      </c>
      <c r="O45" s="1">
        <v>-6.8228523619398018E-3</v>
      </c>
      <c r="P45" s="1">
        <v>-2.9963502341139685E-2</v>
      </c>
      <c r="Q45" s="1">
        <v>-3.4542224836789565E-2</v>
      </c>
      <c r="R45" s="1">
        <v>-1.4647178378681319E-2</v>
      </c>
      <c r="S45" s="1">
        <v>-1.153568156555802E-3</v>
      </c>
      <c r="T45" s="1">
        <v>2.6023404088118325E-2</v>
      </c>
      <c r="U45" s="1">
        <v>1.0589724014517694E-5</v>
      </c>
      <c r="V45" s="1">
        <v>6.9600887173308732E-4</v>
      </c>
      <c r="W45" s="1">
        <v>4.6750439676894989E-2</v>
      </c>
      <c r="X45" s="1">
        <v>-2.151060714699193E-2</v>
      </c>
      <c r="Y45" s="1">
        <v>-3.0778768927694627E-3</v>
      </c>
      <c r="Z45" s="1">
        <v>-6.9547947247508585E-3</v>
      </c>
      <c r="AA45" s="1">
        <v>-7.8618602333103763E-2</v>
      </c>
      <c r="AB45" s="1">
        <v>2.0193840499670056E-2</v>
      </c>
      <c r="AC45" s="1">
        <v>2.5780184348382657E-3</v>
      </c>
      <c r="AD45" s="1">
        <v>1.405307548076707E-2</v>
      </c>
      <c r="AE45" s="1">
        <v>5.6043441548130901E-3</v>
      </c>
      <c r="AF45" s="1">
        <v>1.8344361012267038E-2</v>
      </c>
      <c r="AG45" s="1">
        <v>1.5495490139003506E-2</v>
      </c>
      <c r="AH45" s="1">
        <v>-6.8229146866568349E-2</v>
      </c>
      <c r="AI45" s="1">
        <v>-1.0395172923450567E-2</v>
      </c>
      <c r="AJ45" s="1">
        <v>-3.3841915310887025E-3</v>
      </c>
      <c r="AK45" s="1">
        <v>4.7359880616315488E-3</v>
      </c>
      <c r="AL45" s="1">
        <v>-8.7858625568715959E-3</v>
      </c>
      <c r="AM45" s="1">
        <v>3.1925477678053295E-2</v>
      </c>
      <c r="AN45" s="1">
        <v>9.1431644191687731E-4</v>
      </c>
      <c r="AO45" s="1">
        <v>7.21064689608167E-3</v>
      </c>
      <c r="AP45" s="1">
        <v>-6.5355508147477759E-2</v>
      </c>
      <c r="AQ45" s="1">
        <v>1.9996532424793979E-2</v>
      </c>
      <c r="AR45" s="1">
        <v>-9.5513474884514581E-3</v>
      </c>
      <c r="AS45" s="1">
        <v>2.0797809775680638E-2</v>
      </c>
      <c r="AT45" s="1">
        <v>8.016116580567785E-3</v>
      </c>
      <c r="AU45" s="1">
        <v>-5.128334834804375E-3</v>
      </c>
      <c r="AV45" s="1">
        <v>-2.4747203132577517E-2</v>
      </c>
      <c r="AW45" s="1">
        <v>-2.8134390443492554E-2</v>
      </c>
      <c r="AX45" s="1">
        <v>4.3254794954759234E-3</v>
      </c>
      <c r="AY45" s="1">
        <v>-2.1519109337974716E-3</v>
      </c>
      <c r="AZ45" s="1">
        <v>4.2862564079593386E-3</v>
      </c>
      <c r="BA45" s="1">
        <v>1.5517310829563221E-2</v>
      </c>
      <c r="BB45" s="1">
        <v>-9.7186616003761862E-3</v>
      </c>
      <c r="BC45" s="1">
        <v>1.1520674206832452E-2</v>
      </c>
      <c r="BD45" s="1">
        <v>-1.7996471975919113E-2</v>
      </c>
      <c r="BE45" s="1">
        <v>3.1841591663322538E-2</v>
      </c>
      <c r="BF45" s="1">
        <v>2.1011490962537301E-2</v>
      </c>
      <c r="BG45" s="1">
        <v>-4.5369028262993175E-2</v>
      </c>
      <c r="BH45" s="1">
        <v>-6.0371706251321447E-2</v>
      </c>
      <c r="BI45" s="1">
        <v>-7.1807258103804145E-2</v>
      </c>
      <c r="BJ45" s="1">
        <v>2.3581203528660059E-2</v>
      </c>
      <c r="BK45" s="1">
        <v>7.2977188975161733E-3</v>
      </c>
      <c r="BL45" s="1">
        <v>4.1700412792512867E-2</v>
      </c>
      <c r="BM45" s="1">
        <v>-1.9183342287178686E-2</v>
      </c>
      <c r="BN45" s="1">
        <v>5.4517314637690783E-3</v>
      </c>
      <c r="BO45" s="1">
        <v>3.4547330929398712E-2</v>
      </c>
      <c r="BP45" s="1">
        <v>6.5750761180920353E-3</v>
      </c>
      <c r="BQ45" s="1">
        <v>1.2031068612459513E-2</v>
      </c>
      <c r="BR45" s="1">
        <v>5.2065252037605259E-2</v>
      </c>
      <c r="BS45" s="1">
        <v>-4.1620679584282103E-2</v>
      </c>
      <c r="BT45" s="1">
        <v>6.8078072766509174E-3</v>
      </c>
      <c r="BU45" s="1">
        <v>-1.09316158118519E-2</v>
      </c>
      <c r="BV45" s="1">
        <v>-9.5193243682957784E-3</v>
      </c>
      <c r="BW45" s="1">
        <v>1.9948655129191046E-2</v>
      </c>
      <c r="BX45" s="1">
        <v>-1.2310810111079148E-2</v>
      </c>
      <c r="BY45" s="1">
        <v>6.7871139165316761E-3</v>
      </c>
      <c r="BZ45" s="1">
        <v>3.8156062945025958E-2</v>
      </c>
      <c r="CA45" s="1">
        <v>3.2471237501051811E-2</v>
      </c>
      <c r="CB45" s="1">
        <v>5.438926149988468E-3</v>
      </c>
      <c r="CC45" s="1">
        <v>2.3780356940964732E-2</v>
      </c>
      <c r="CD45" s="1">
        <v>2.852333423255209E-2</v>
      </c>
      <c r="CE45" s="1">
        <v>2.4904932168392614E-2</v>
      </c>
      <c r="CF45" s="1">
        <v>1.0351966777959732E-2</v>
      </c>
      <c r="CG45" s="1">
        <v>2.0283744187945901E-2</v>
      </c>
      <c r="CH45" s="1">
        <v>2.8381182351093173E-2</v>
      </c>
      <c r="CI45" s="1">
        <v>-1.2738629561117151E-2</v>
      </c>
      <c r="CJ45" s="1">
        <v>-9.9112602652638784E-3</v>
      </c>
      <c r="CK45" s="1">
        <v>1.9417288945045297E-2</v>
      </c>
      <c r="CL45" s="1">
        <v>-4.0706341987792258E-3</v>
      </c>
      <c r="CM45" s="1">
        <v>1.1694614897737685E-3</v>
      </c>
      <c r="CN45" s="1">
        <v>7.1388876381957941E-2</v>
      </c>
      <c r="CO45" s="1">
        <v>-3.1291292376912569E-2</v>
      </c>
      <c r="CP45" s="1">
        <v>2.1250010176641104E-2</v>
      </c>
      <c r="CQ45" s="1">
        <v>-1.0838634976374883E-2</v>
      </c>
      <c r="CR45" s="1">
        <v>-1.5627422059091116E-2</v>
      </c>
      <c r="CS45" s="1">
        <v>-1.9949908028098436E-2</v>
      </c>
      <c r="CT45" s="1">
        <v>1.5337221327781439E-3</v>
      </c>
      <c r="CU45" s="1">
        <v>1.0927691462864386E-2</v>
      </c>
      <c r="CV45" s="1">
        <v>-2.3246176097779014E-2</v>
      </c>
      <c r="CW45">
        <v>-4.7475253060367914E-2</v>
      </c>
    </row>
    <row r="46" spans="3:101" x14ac:dyDescent="0.35">
      <c r="C46" s="1">
        <v>1.1924381929088106E-2</v>
      </c>
      <c r="G46" s="1">
        <v>2.5149967427549616E-2</v>
      </c>
      <c r="J46" s="1">
        <v>1.0213629430292559E-3</v>
      </c>
      <c r="K46" s="1">
        <v>-1.3796010688395491E-2</v>
      </c>
      <c r="L46" s="1">
        <v>1.061375170221482E-2</v>
      </c>
      <c r="M46" s="1">
        <v>3.6275284321590773E-4</v>
      </c>
      <c r="N46" s="1">
        <v>3.1090866697051283E-2</v>
      </c>
      <c r="O46" s="1">
        <v>1.3856593489169743E-2</v>
      </c>
      <c r="P46" s="1">
        <v>-6.4334612602571131E-2</v>
      </c>
      <c r="Q46" s="1">
        <v>2.3203112615624279E-2</v>
      </c>
      <c r="R46" s="1">
        <v>-4.9078535438695198E-2</v>
      </c>
      <c r="S46" s="1">
        <v>2.0773591808656428E-2</v>
      </c>
      <c r="T46" s="1">
        <v>3.021189034014762E-2</v>
      </c>
      <c r="U46" s="1">
        <v>-3.727953507273607E-2</v>
      </c>
      <c r="V46" s="1">
        <v>3.5258242216846244E-2</v>
      </c>
      <c r="W46" s="1">
        <v>-2.1485608338237889E-2</v>
      </c>
      <c r="X46" s="1">
        <v>-6.0132435025181299E-2</v>
      </c>
      <c r="Y46" s="1">
        <v>4.5634626325809613E-2</v>
      </c>
      <c r="Z46" s="1">
        <v>-1.4472401773859125E-2</v>
      </c>
      <c r="AA46" s="1">
        <v>2.0131063117510825E-2</v>
      </c>
      <c r="AB46" s="1">
        <v>-7.5938929164702084E-3</v>
      </c>
      <c r="AC46" s="1">
        <v>1.0545348058541945E-2</v>
      </c>
      <c r="AD46" s="1">
        <v>4.5472869081880737E-2</v>
      </c>
      <c r="AE46" s="1">
        <v>-2.1297954489415353E-2</v>
      </c>
      <c r="AF46" s="1">
        <v>-5.8608863197677219E-3</v>
      </c>
      <c r="AG46" s="1">
        <v>1.2672763711100255E-2</v>
      </c>
      <c r="AH46" s="1">
        <v>6.2241741189886679E-2</v>
      </c>
      <c r="AI46" s="1">
        <v>-2.4193561698069323E-2</v>
      </c>
      <c r="AJ46" s="1">
        <v>1.508502200277069E-2</v>
      </c>
      <c r="AK46" s="1">
        <v>2.4473668219215965E-2</v>
      </c>
      <c r="AL46" s="1">
        <v>2.547746509362803E-2</v>
      </c>
      <c r="AM46" s="1">
        <v>8.4212196472479017E-3</v>
      </c>
      <c r="AN46" s="1">
        <v>-1.9408770457046941E-2</v>
      </c>
      <c r="AO46" s="1">
        <v>4.7980041546761026E-2</v>
      </c>
      <c r="AP46" s="1">
        <v>2.1392330714338501E-3</v>
      </c>
      <c r="AQ46" s="1">
        <v>1.3425487229446871E-2</v>
      </c>
      <c r="AR46" s="1">
        <v>-2.1821484516730594E-2</v>
      </c>
      <c r="AS46" s="1">
        <v>5.0994171247512585E-2</v>
      </c>
      <c r="AT46" s="1">
        <v>-1.8182500590313531E-2</v>
      </c>
      <c r="AU46" s="1">
        <v>8.938061624557481E-4</v>
      </c>
      <c r="AV46" s="1">
        <v>8.3139595322244374E-3</v>
      </c>
      <c r="AW46" s="1">
        <v>-5.7464245238465165E-3</v>
      </c>
      <c r="AX46" s="1">
        <v>-2.3484949786798347E-2</v>
      </c>
      <c r="AY46" s="1">
        <v>-1.935471732776407E-2</v>
      </c>
      <c r="AZ46" s="1">
        <v>2.0912731925036766E-2</v>
      </c>
      <c r="BA46" s="1">
        <v>-3.6342740319373762E-2</v>
      </c>
      <c r="BB46" s="1">
        <v>-3.2363716836000922E-2</v>
      </c>
      <c r="BC46" s="1">
        <v>2.7959870770780982E-2</v>
      </c>
      <c r="BD46" s="1">
        <v>1.0719148484462107E-2</v>
      </c>
      <c r="BE46" s="1">
        <v>2.3693723194692855E-2</v>
      </c>
      <c r="BF46" s="1">
        <v>-7.3930996098059296E-2</v>
      </c>
      <c r="BG46" s="1">
        <v>-2.2991341405386282E-2</v>
      </c>
      <c r="BH46" s="1">
        <v>1.1139497040896064E-2</v>
      </c>
      <c r="BI46" s="1">
        <v>1.6970536279507918E-2</v>
      </c>
      <c r="BJ46" s="1">
        <v>3.3121121687315583E-2</v>
      </c>
      <c r="BK46" s="1">
        <v>3.2894398086584231E-2</v>
      </c>
      <c r="BL46" s="1">
        <v>1.5496221583075499E-2</v>
      </c>
      <c r="BM46" s="1">
        <v>7.7219237623665365E-2</v>
      </c>
      <c r="BN46" s="1">
        <v>2.8780746903631398E-2</v>
      </c>
      <c r="BO46" s="1">
        <v>-2.2205820389063505E-2</v>
      </c>
      <c r="BP46" s="1">
        <v>2.5272455993973288E-2</v>
      </c>
      <c r="BQ46" s="1">
        <v>-2.0200770183678451E-2</v>
      </c>
      <c r="BR46" s="1">
        <v>4.5342207464470208E-2</v>
      </c>
      <c r="BS46" s="1">
        <v>2.2207589387921403E-2</v>
      </c>
      <c r="BT46" s="1">
        <v>1.8616651068785333E-2</v>
      </c>
      <c r="BU46" s="1">
        <v>6.7289018813943585E-2</v>
      </c>
      <c r="BV46" s="1">
        <v>1.5237873830943702E-2</v>
      </c>
      <c r="BW46" s="1">
        <v>-5.8922329259391143E-2</v>
      </c>
      <c r="BX46" s="1">
        <v>1.4834639252593863E-2</v>
      </c>
      <c r="BY46" s="1">
        <v>-1.7847153761685938E-2</v>
      </c>
      <c r="BZ46" s="1">
        <v>-9.0150021282627904E-3</v>
      </c>
      <c r="CA46" s="1">
        <v>1.8674918862449277E-2</v>
      </c>
      <c r="CB46" s="1">
        <v>-2.2345496540744785E-2</v>
      </c>
      <c r="CC46" s="1">
        <v>3.5474625133916152E-3</v>
      </c>
      <c r="CD46" s="1">
        <v>-2.4168502076226551E-3</v>
      </c>
      <c r="CE46" s="1">
        <v>6.0054456852270399E-2</v>
      </c>
      <c r="CF46" s="1">
        <v>2.63001977551174E-2</v>
      </c>
      <c r="CG46" s="1">
        <v>2.9417908035455544E-2</v>
      </c>
      <c r="CH46" s="1">
        <v>2.9892064555620216E-2</v>
      </c>
      <c r="CI46" s="1">
        <v>4.2232685952145309E-3</v>
      </c>
      <c r="CJ46" s="1">
        <v>9.8681917749335411E-3</v>
      </c>
      <c r="CK46" s="1">
        <v>4.9129363200186085E-2</v>
      </c>
      <c r="CL46" s="1">
        <v>-4.3176039789272022E-2</v>
      </c>
      <c r="CM46" s="1">
        <v>-4.5775297436993809E-2</v>
      </c>
      <c r="CN46" s="1">
        <v>-1.5735504274310065E-2</v>
      </c>
      <c r="CO46" s="1">
        <v>1.2423630717807523E-2</v>
      </c>
      <c r="CP46" s="1">
        <v>-1.657847704247966E-3</v>
      </c>
      <c r="CQ46" s="1">
        <v>7.0581490388142903E-2</v>
      </c>
      <c r="CR46" s="1">
        <v>-1.7155946636564348E-2</v>
      </c>
      <c r="CS46" s="1">
        <v>1.7729490731680352E-3</v>
      </c>
      <c r="CT46" s="1">
        <v>3.6735675172874793E-2</v>
      </c>
      <c r="CU46" s="1">
        <v>-6.812252987530484E-3</v>
      </c>
      <c r="CV46" s="1">
        <v>-3.2131821662208071E-2</v>
      </c>
      <c r="CW46">
        <v>-4.9921045027129018E-2</v>
      </c>
    </row>
    <row r="47" spans="3:101" x14ac:dyDescent="0.35">
      <c r="C47" s="1">
        <v>3.6948555896702817E-4</v>
      </c>
      <c r="G47" s="1">
        <v>-2.1040844925978412E-2</v>
      </c>
      <c r="J47" s="1">
        <v>1.7682306964660423E-2</v>
      </c>
      <c r="K47" s="1">
        <v>-1.620778909140733E-2</v>
      </c>
      <c r="L47" s="1">
        <v>-2.8190605681372969E-2</v>
      </c>
      <c r="M47" s="1">
        <v>3.3831903217772102E-2</v>
      </c>
      <c r="N47" s="1">
        <v>3.9095739559882759E-3</v>
      </c>
      <c r="O47" s="1">
        <v>-1.1647399642197947E-2</v>
      </c>
      <c r="P47" s="1">
        <v>2.3328172097238749E-2</v>
      </c>
      <c r="Q47" s="1">
        <v>-5.2421244272661694E-3</v>
      </c>
      <c r="R47" s="1">
        <v>3.528281375329001E-2</v>
      </c>
      <c r="S47" s="1">
        <v>-7.8066610546494684E-3</v>
      </c>
      <c r="T47" s="1">
        <v>-5.6904924866244509E-3</v>
      </c>
      <c r="U47" s="1">
        <v>-1.4509878094473457E-2</v>
      </c>
      <c r="V47" s="1">
        <v>2.3218193389735336E-2</v>
      </c>
      <c r="W47" s="1">
        <v>1.90361258980472E-2</v>
      </c>
      <c r="X47" s="1">
        <v>-1.5889865554266903E-2</v>
      </c>
      <c r="Y47" s="1">
        <v>9.7739587977678927E-3</v>
      </c>
      <c r="Z47" s="1">
        <v>4.975241351924721E-2</v>
      </c>
      <c r="AA47" s="1">
        <v>1.0180709325305636E-2</v>
      </c>
      <c r="AB47" s="1">
        <v>3.638982784954771E-2</v>
      </c>
      <c r="AC47" s="1">
        <v>-3.9595448792399526E-2</v>
      </c>
      <c r="AD47" s="1">
        <v>-9.7639929428180068E-3</v>
      </c>
      <c r="AE47" s="1">
        <v>9.4181796880646387E-3</v>
      </c>
      <c r="AF47" s="1">
        <v>-9.923799804699162E-3</v>
      </c>
      <c r="AG47" s="1">
        <v>4.0743722087832196E-2</v>
      </c>
      <c r="AH47" s="1">
        <v>6.9204591273253034E-3</v>
      </c>
      <c r="AI47" s="1">
        <v>-2.2344361270270743E-2</v>
      </c>
      <c r="AJ47" s="1">
        <v>5.1945967475648044E-2</v>
      </c>
      <c r="AK47" s="1">
        <v>-1.5004383623087435E-4</v>
      </c>
      <c r="AL47" s="1">
        <v>5.8486019262797936E-2</v>
      </c>
      <c r="AM47" s="1">
        <v>-3.1024025854123876E-2</v>
      </c>
      <c r="AN47" s="1">
        <v>4.0191415445484831E-3</v>
      </c>
      <c r="AO47" s="1">
        <v>2.9286771284012778E-2</v>
      </c>
      <c r="AP47" s="1">
        <v>2.1069801130009051E-2</v>
      </c>
      <c r="AQ47" s="1">
        <v>2.2839827468314838E-2</v>
      </c>
      <c r="AR47" s="1">
        <v>-1.2763767973956779E-2</v>
      </c>
      <c r="AS47" s="1">
        <v>3.5377669219378696E-2</v>
      </c>
      <c r="AT47" s="1">
        <v>-1.4865048153561686E-2</v>
      </c>
      <c r="AU47" s="1">
        <v>2.0119598444110643E-3</v>
      </c>
      <c r="AV47" s="1">
        <v>-4.6583129620590219E-2</v>
      </c>
      <c r="AW47" s="1">
        <v>4.8385360205259131E-2</v>
      </c>
      <c r="AX47" s="1">
        <v>-1.9770453551943457E-2</v>
      </c>
      <c r="AY47" s="1">
        <v>-6.0277251757220839E-3</v>
      </c>
      <c r="AZ47" s="1">
        <v>-2.9636267908797243E-2</v>
      </c>
      <c r="BA47" s="1">
        <v>4.4324683026249534E-2</v>
      </c>
      <c r="BB47" s="1">
        <v>-4.279253134962889E-2</v>
      </c>
      <c r="BC47" s="1">
        <v>-2.7710332590333116E-2</v>
      </c>
      <c r="BD47" s="1">
        <v>2.4825911468254368E-2</v>
      </c>
      <c r="BE47" s="1">
        <v>8.0913942581727991E-3</v>
      </c>
      <c r="BF47" s="1">
        <v>1.7678768520801736E-2</v>
      </c>
      <c r="BG47" s="1">
        <v>5.4398348462650382E-3</v>
      </c>
      <c r="BH47" s="1">
        <v>4.9419171466418374E-2</v>
      </c>
      <c r="BI47" s="1">
        <v>3.9162869484331408E-3</v>
      </c>
      <c r="BJ47" s="1">
        <v>-8.4627913409890468E-3</v>
      </c>
      <c r="BK47" s="1">
        <v>-1.3694401961708479E-2</v>
      </c>
      <c r="BL47" s="1">
        <v>5.5973132016491562E-3</v>
      </c>
      <c r="BM47" s="1">
        <v>2.1819542919616922E-2</v>
      </c>
      <c r="BN47" s="1">
        <v>-3.7591502891894918E-2</v>
      </c>
      <c r="BO47" s="1">
        <v>7.0146834083632103E-3</v>
      </c>
      <c r="BP47" s="1">
        <v>-5.0134802319530217E-3</v>
      </c>
      <c r="BQ47" s="1">
        <v>2.5601794808356212E-2</v>
      </c>
      <c r="BR47" s="1">
        <v>1.1746469135541508E-2</v>
      </c>
      <c r="BS47" s="1">
        <v>2.8684900247215938E-2</v>
      </c>
      <c r="BT47" s="1">
        <v>-2.1488255292390967E-2</v>
      </c>
      <c r="BU47" s="1">
        <v>3.9429902371688856E-3</v>
      </c>
      <c r="BV47" s="1">
        <v>3.4242739285408316E-2</v>
      </c>
      <c r="BW47" s="1">
        <v>4.5449699065645027E-2</v>
      </c>
      <c r="BX47" s="1">
        <v>3.4596975462062134E-2</v>
      </c>
      <c r="BY47" s="1">
        <v>3.1327035882056375E-2</v>
      </c>
      <c r="BZ47" s="1">
        <v>-3.9667116377131179E-3</v>
      </c>
      <c r="CA47" s="1">
        <v>3.7300744620175005E-2</v>
      </c>
      <c r="CB47" s="1">
        <v>2.5036097724724666E-2</v>
      </c>
      <c r="CC47" s="1">
        <v>6.4884476942206172E-3</v>
      </c>
      <c r="CD47" s="1">
        <v>-7.9057304402908642E-3</v>
      </c>
      <c r="CE47" s="1">
        <v>1.7800138483237915E-2</v>
      </c>
      <c r="CF47" s="1">
        <v>-9.8142186922266297E-3</v>
      </c>
      <c r="CG47" s="1">
        <v>-1.3669827040003767E-2</v>
      </c>
      <c r="CH47" s="1">
        <v>2.0786878995121463E-3</v>
      </c>
      <c r="CI47" s="1">
        <v>2.0088212464585479E-2</v>
      </c>
      <c r="CJ47" s="1">
        <v>-2.114034501362572E-2</v>
      </c>
      <c r="CK47" s="1">
        <v>4.7961573831481211E-2</v>
      </c>
      <c r="CL47" s="1">
        <v>2.5419729789777801E-2</v>
      </c>
      <c r="CM47" s="1">
        <v>-9.0039733883796359E-3</v>
      </c>
      <c r="CN47" s="1">
        <v>-5.5359879169556647E-2</v>
      </c>
      <c r="CO47" s="1">
        <v>-3.5255192214859288E-2</v>
      </c>
      <c r="CP47" s="1">
        <v>-1.7829366019944313E-2</v>
      </c>
      <c r="CQ47" s="1">
        <v>4.782911608054348E-2</v>
      </c>
      <c r="CR47" s="1">
        <v>6.5299497073088731E-3</v>
      </c>
      <c r="CS47" s="1">
        <v>-5.2913890768060065E-3</v>
      </c>
      <c r="CT47" s="1">
        <v>4.1155051053409261E-2</v>
      </c>
      <c r="CU47" s="1">
        <v>1.9217777683295162E-2</v>
      </c>
      <c r="CV47" s="1">
        <v>9.0959053108057124E-3</v>
      </c>
      <c r="CW47">
        <v>-4.4930314751495906E-2</v>
      </c>
    </row>
    <row r="48" spans="3:101" x14ac:dyDescent="0.35">
      <c r="C48" s="1">
        <v>1.1362287701302017E-2</v>
      </c>
      <c r="G48" s="1">
        <v>-5.6486093315029379E-2</v>
      </c>
      <c r="J48" s="1">
        <v>-1.3955925001907548E-2</v>
      </c>
      <c r="K48" s="1">
        <v>-2.1122213380462686E-2</v>
      </c>
      <c r="L48" s="1">
        <v>1.8905841910823999E-2</v>
      </c>
      <c r="M48" s="1">
        <v>4.2533622003714217E-2</v>
      </c>
      <c r="N48" s="1">
        <v>-1.8643643284558899E-2</v>
      </c>
      <c r="O48" s="1">
        <v>-2.6499652235001375E-3</v>
      </c>
      <c r="P48" s="1">
        <v>7.3056412328599288E-2</v>
      </c>
      <c r="Q48" s="1">
        <v>7.4702754659089696E-2</v>
      </c>
      <c r="R48" s="1">
        <v>-1.1471333406348205E-2</v>
      </c>
      <c r="S48" s="1">
        <v>3.6938468060334659E-3</v>
      </c>
      <c r="T48" s="1">
        <v>-7.8543918919910492E-3</v>
      </c>
      <c r="U48" s="1">
        <v>-2.6323192157836194E-2</v>
      </c>
      <c r="V48" s="1">
        <v>-1.5040309689050176E-2</v>
      </c>
      <c r="W48" s="1">
        <v>-1.8148109793421682E-2</v>
      </c>
      <c r="X48" s="1">
        <v>6.2735816969728672E-2</v>
      </c>
      <c r="Y48" s="1">
        <v>-3.0524141899394817E-2</v>
      </c>
      <c r="Z48" s="1">
        <v>1.2564063134220742E-2</v>
      </c>
      <c r="AA48" s="1">
        <v>-7.5350734539218669E-3</v>
      </c>
      <c r="AB48" s="1">
        <v>-1.4942193820990855E-2</v>
      </c>
      <c r="AC48" s="1">
        <v>7.3602574040065302E-2</v>
      </c>
      <c r="AD48" s="1">
        <v>-7.0097305271382207E-3</v>
      </c>
      <c r="AE48" s="1">
        <v>-5.4261776600339831E-3</v>
      </c>
      <c r="AF48" s="1">
        <v>-7.6134718302162119E-4</v>
      </c>
      <c r="AG48" s="1">
        <v>7.7409758107964535E-2</v>
      </c>
      <c r="AH48" s="1">
        <v>-7.780326606487321E-3</v>
      </c>
      <c r="AI48" s="1">
        <v>-1.2123413387865063E-2</v>
      </c>
      <c r="AJ48" s="1">
        <v>-8.3089936030448855E-3</v>
      </c>
      <c r="AK48" s="1">
        <v>-3.9110326637424517E-3</v>
      </c>
      <c r="AL48" s="1">
        <v>4.6955070169474131E-2</v>
      </c>
      <c r="AM48" s="1">
        <v>-1.4258305754733434E-2</v>
      </c>
      <c r="AN48" s="1">
        <v>9.5985922102461499E-3</v>
      </c>
      <c r="AO48" s="1">
        <v>3.6310961038867065E-2</v>
      </c>
      <c r="AP48" s="1">
        <v>4.4277460869223226E-2</v>
      </c>
      <c r="AQ48" s="1">
        <v>4.0989405697360315E-2</v>
      </c>
      <c r="AR48" s="1">
        <v>-2.4540021651061502E-2</v>
      </c>
      <c r="AS48" s="1">
        <v>-1.0459987139408333E-2</v>
      </c>
      <c r="AT48" s="1">
        <v>6.3629692757964243E-3</v>
      </c>
      <c r="AU48" s="1">
        <v>5.3838128273599895E-3</v>
      </c>
      <c r="AV48" s="1">
        <v>6.0253101914696612E-3</v>
      </c>
      <c r="AW48" s="1">
        <v>4.3479209579319698E-3</v>
      </c>
      <c r="AX48" s="1">
        <v>-2.9995071244963551E-2</v>
      </c>
      <c r="AY48" s="1">
        <v>6.755670520136961E-2</v>
      </c>
      <c r="AZ48" s="1">
        <v>1.133088542567225E-2</v>
      </c>
      <c r="BA48" s="1">
        <v>3.4399511865852214E-3</v>
      </c>
      <c r="BB48" s="1">
        <v>8.3130326956117832E-3</v>
      </c>
      <c r="BC48" s="1">
        <v>4.4523746250510102E-2</v>
      </c>
      <c r="BD48" s="1">
        <v>2.7666197752866897E-2</v>
      </c>
      <c r="BE48" s="1">
        <v>-3.7070253509113114E-3</v>
      </c>
      <c r="BF48" s="1">
        <v>-6.080525917383419E-3</v>
      </c>
      <c r="BG48" s="1">
        <v>-7.8332311442933702E-3</v>
      </c>
      <c r="BH48" s="1">
        <v>9.3144737071997052E-3</v>
      </c>
      <c r="BI48" s="1">
        <v>1.2829505806830292E-3</v>
      </c>
      <c r="BJ48" s="1">
        <v>-4.8465110396452182E-2</v>
      </c>
      <c r="BK48" s="1">
        <v>2.5634489764537506E-2</v>
      </c>
      <c r="BL48" s="1">
        <v>3.9030803251827784E-2</v>
      </c>
      <c r="BM48" s="1">
        <v>-4.6677016496959628E-2</v>
      </c>
      <c r="BN48" s="1">
        <v>-4.0043762529512524E-3</v>
      </c>
      <c r="BO48" s="1">
        <v>-4.3131720763070702E-2</v>
      </c>
      <c r="BP48" s="1">
        <v>1.4809810707650681E-2</v>
      </c>
      <c r="BQ48" s="1">
        <v>-1.4328914588339098E-2</v>
      </c>
      <c r="BR48" s="1">
        <v>-1.9540947842109427E-2</v>
      </c>
      <c r="BS48" s="1">
        <v>5.2539319485635436E-3</v>
      </c>
      <c r="BT48" s="1">
        <v>-4.961712509710248E-3</v>
      </c>
      <c r="BU48" s="1">
        <v>-3.5748918590599157E-2</v>
      </c>
      <c r="BV48" s="1">
        <v>2.7787444394296514E-2</v>
      </c>
      <c r="BW48" s="1">
        <v>-1.2268646939800322E-2</v>
      </c>
      <c r="BX48" s="1">
        <v>-1.7134722665667814E-3</v>
      </c>
      <c r="BY48" s="1">
        <v>-4.4787189976023933E-2</v>
      </c>
      <c r="BZ48" s="1">
        <v>4.6558503380119036E-3</v>
      </c>
      <c r="CA48" s="1">
        <v>2.3051196145535885E-2</v>
      </c>
      <c r="CB48" s="1">
        <v>-1.8608198676148855E-2</v>
      </c>
      <c r="CC48" s="1">
        <v>-1.3312373404743016E-2</v>
      </c>
      <c r="CD48" s="1">
        <v>3.6699009041953806E-2</v>
      </c>
      <c r="CE48" s="1">
        <v>3.212953313682522E-2</v>
      </c>
      <c r="CF48" s="1">
        <v>-2.2134535872417715E-3</v>
      </c>
      <c r="CG48" s="1">
        <v>2.6992193862011892E-3</v>
      </c>
      <c r="CH48" s="1">
        <v>2.9354517316305319E-2</v>
      </c>
      <c r="CI48" s="1">
        <v>-8.4781186339038563E-3</v>
      </c>
      <c r="CJ48" s="1">
        <v>5.6917030756914927E-2</v>
      </c>
      <c r="CK48" s="1">
        <v>-1.5504045472189535E-2</v>
      </c>
      <c r="CL48" s="1">
        <v>2.5846132439983276E-2</v>
      </c>
      <c r="CM48" s="1">
        <v>3.497420240365208E-2</v>
      </c>
      <c r="CN48" s="1">
        <v>-3.219263337662194E-2</v>
      </c>
      <c r="CO48" s="1">
        <v>1.1918806128042417E-2</v>
      </c>
      <c r="CP48" s="1">
        <v>-1.7117590691371285E-3</v>
      </c>
      <c r="CQ48" s="1">
        <v>-1.2408691984830838E-2</v>
      </c>
      <c r="CR48" s="1">
        <v>-1.8377314199633808E-2</v>
      </c>
      <c r="CS48" s="1">
        <v>-9.4245250774447481E-3</v>
      </c>
      <c r="CT48" s="1">
        <v>-3.1019539087973631E-2</v>
      </c>
      <c r="CU48" s="1">
        <v>-3.9005844541909779E-2</v>
      </c>
      <c r="CV48" s="1">
        <v>-2.3315025524012468E-2</v>
      </c>
      <c r="CW48">
        <v>1.4822062881624595E-2</v>
      </c>
    </row>
    <row r="49" spans="3:101" x14ac:dyDescent="0.35">
      <c r="C49" s="1">
        <v>1.5250786805720423E-2</v>
      </c>
      <c r="G49" s="1">
        <v>1.2151550826587823E-2</v>
      </c>
      <c r="J49" s="1">
        <v>9.2735985252002991E-3</v>
      </c>
      <c r="K49" s="1">
        <v>2.0691922541446368E-2</v>
      </c>
      <c r="L49" s="1">
        <v>-4.5129112892334892E-5</v>
      </c>
      <c r="M49" s="1">
        <v>-3.2181616871407914E-2</v>
      </c>
      <c r="N49" s="1">
        <v>-4.007500076525828E-3</v>
      </c>
      <c r="O49" s="1">
        <v>-4.506854551680399E-2</v>
      </c>
      <c r="P49" s="1">
        <v>3.5856097882182776E-3</v>
      </c>
      <c r="Q49" s="1">
        <v>-4.3186516118322263E-2</v>
      </c>
      <c r="R49" s="1">
        <v>9.9585928363423813E-3</v>
      </c>
      <c r="S49" s="1">
        <v>-9.9040723674473571E-3</v>
      </c>
      <c r="T49" s="1">
        <v>-3.3462911671509436E-3</v>
      </c>
      <c r="U49" s="1">
        <v>7.2519904261007004E-2</v>
      </c>
      <c r="V49" s="1">
        <v>-3.8756605715513804E-3</v>
      </c>
      <c r="W49" s="1">
        <v>4.4035644600446414E-2</v>
      </c>
      <c r="X49" s="1">
        <v>3.9121041178764113E-3</v>
      </c>
      <c r="Y49" s="1">
        <v>-1.1579051214332902E-2</v>
      </c>
      <c r="Z49" s="1">
        <v>-1.0554467880268401E-2</v>
      </c>
      <c r="AA49" s="1">
        <v>2.3199186458040359E-2</v>
      </c>
      <c r="AB49" s="1">
        <v>4.1275190197328226E-3</v>
      </c>
      <c r="AC49" s="1">
        <v>-2.0909448830915223E-2</v>
      </c>
      <c r="AD49" s="1">
        <v>5.964795225964567E-2</v>
      </c>
      <c r="AE49" s="1">
        <v>-1.1319215467303693E-2</v>
      </c>
      <c r="AF49" s="1">
        <v>9.5408592927981109E-3</v>
      </c>
      <c r="AG49" s="1">
        <v>2.6036946914938467E-2</v>
      </c>
      <c r="AH49" s="1">
        <v>3.3754577261602123E-2</v>
      </c>
      <c r="AI49" s="1">
        <v>8.3087010690891163E-3</v>
      </c>
      <c r="AJ49" s="1">
        <v>-2.1770430067457512E-2</v>
      </c>
      <c r="AK49" s="1">
        <v>3.5271550468883181E-2</v>
      </c>
      <c r="AL49" s="1">
        <v>4.7933122285033951E-3</v>
      </c>
      <c r="AM49" s="1">
        <v>-2.7200324105417239E-2</v>
      </c>
      <c r="AN49" s="1">
        <v>2.3592448402991791E-2</v>
      </c>
      <c r="AO49" s="1">
        <v>5.0218267540435235E-2</v>
      </c>
      <c r="AP49" s="1">
        <v>6.0456112601726501E-3</v>
      </c>
      <c r="AQ49" s="1">
        <v>-4.0290096921244772E-2</v>
      </c>
      <c r="AR49" s="1">
        <v>-3.9454756861876522E-3</v>
      </c>
      <c r="AS49" s="1">
        <v>-2.1952142760926024E-2</v>
      </c>
      <c r="AT49" s="1">
        <v>-4.5280063467572726E-2</v>
      </c>
      <c r="AU49" s="1">
        <v>7.0441639034675721E-2</v>
      </c>
      <c r="AV49" s="1">
        <v>-1.4226290065800694E-2</v>
      </c>
      <c r="AW49" s="1">
        <v>2.4292183418320283E-2</v>
      </c>
      <c r="AX49" s="1">
        <v>-8.1634719644256212E-4</v>
      </c>
      <c r="AY49" s="1">
        <v>3.8962780979803963E-2</v>
      </c>
      <c r="AZ49" s="1">
        <v>2.8182240909270441E-2</v>
      </c>
      <c r="BA49" s="1">
        <v>-6.909142213365535E-2</v>
      </c>
      <c r="BB49" s="1">
        <v>-8.8137897172580956E-4</v>
      </c>
      <c r="BC49" s="1">
        <v>6.3671222186457875E-3</v>
      </c>
      <c r="BD49" s="1">
        <v>4.3198732688467745E-2</v>
      </c>
      <c r="BE49" s="1">
        <v>-2.1344632597669593E-2</v>
      </c>
      <c r="BF49" s="1">
        <v>2.2366761289853054E-2</v>
      </c>
      <c r="BG49" s="1">
        <v>6.750441679861276E-3</v>
      </c>
      <c r="BH49" s="1">
        <v>-2.1727565676154387E-2</v>
      </c>
      <c r="BI49" s="1">
        <v>-1.8065748118303967E-2</v>
      </c>
      <c r="BJ49" s="1">
        <v>-2.9064225605115821E-2</v>
      </c>
      <c r="BK49" s="1">
        <v>-2.0838126692719686E-3</v>
      </c>
      <c r="BL49" s="1">
        <v>4.981368026426955E-2</v>
      </c>
      <c r="BM49" s="1">
        <v>2.6245372581294748E-2</v>
      </c>
      <c r="BN49" s="1">
        <v>4.5466180800141934E-2</v>
      </c>
      <c r="BO49" s="1">
        <v>-1.0925927193392443E-3</v>
      </c>
      <c r="BP49" s="1">
        <v>1.9599823287631841E-3</v>
      </c>
      <c r="BQ49" s="1">
        <v>5.8411625557847735E-2</v>
      </c>
      <c r="BR49" s="1">
        <v>3.0452146466330026E-2</v>
      </c>
      <c r="BS49" s="1">
        <v>1.3985698991322093E-2</v>
      </c>
      <c r="BT49" s="1">
        <v>-1.1021562812376023E-2</v>
      </c>
      <c r="BU49" s="1">
        <v>-2.0556250048115818E-2</v>
      </c>
      <c r="BV49" s="1">
        <v>4.8130626477254343E-2</v>
      </c>
      <c r="BW49" s="1">
        <v>8.8319151418131542E-3</v>
      </c>
      <c r="BX49" s="1">
        <v>5.8837793450193826E-2</v>
      </c>
      <c r="BY49" s="1">
        <v>3.9044461348881163E-2</v>
      </c>
      <c r="BZ49" s="1">
        <v>1.5022600124571028E-2</v>
      </c>
      <c r="CA49" s="1">
        <v>5.0230560497012106E-2</v>
      </c>
      <c r="CB49" s="1">
        <v>-2.5523734408002128E-2</v>
      </c>
      <c r="CC49" s="1">
        <v>-4.3816464500225395E-3</v>
      </c>
      <c r="CD49" s="1">
        <v>-4.0504817736553816E-2</v>
      </c>
      <c r="CE49" s="1">
        <v>2.8157259030745792E-2</v>
      </c>
      <c r="CF49" s="1">
        <v>1.878886666199861E-2</v>
      </c>
      <c r="CG49" s="1">
        <v>1.2901096420571169E-2</v>
      </c>
      <c r="CH49" s="1">
        <v>-1.6166530570544301E-2</v>
      </c>
      <c r="CI49" s="1">
        <v>5.1522461083725081E-3</v>
      </c>
      <c r="CJ49" s="1">
        <v>1.4221164329898126E-2</v>
      </c>
      <c r="CK49" s="1">
        <v>1.3097325327654966E-2</v>
      </c>
      <c r="CL49" s="1">
        <v>-1.7146433147668394E-3</v>
      </c>
      <c r="CM49" s="1">
        <v>-8.7745860671768761E-3</v>
      </c>
      <c r="CN49" s="1">
        <v>1.8153783952641334E-2</v>
      </c>
      <c r="CO49" s="1">
        <v>4.2853593668500847E-2</v>
      </c>
      <c r="CP49" s="1">
        <v>1.4962572449165889E-2</v>
      </c>
      <c r="CQ49" s="1">
        <v>3.1176471450809505E-2</v>
      </c>
      <c r="CR49" s="1">
        <v>-1.3616186268933184E-2</v>
      </c>
      <c r="CS49" s="1">
        <v>-6.2744967884807139E-3</v>
      </c>
      <c r="CT49" s="1">
        <v>1.2599600682435978E-2</v>
      </c>
      <c r="CU49" s="1">
        <v>7.4717510961473277E-2</v>
      </c>
      <c r="CV49" s="1">
        <v>-5.8089910252943737E-3</v>
      </c>
      <c r="CW49">
        <v>-4.0883265509840828E-3</v>
      </c>
    </row>
    <row r="50" spans="3:101" x14ac:dyDescent="0.35">
      <c r="C50" s="1">
        <v>-1.190534571593976E-2</v>
      </c>
      <c r="G50" s="1">
        <v>5.4348108581719512E-2</v>
      </c>
      <c r="J50" s="1">
        <v>-2.8934112656730029E-4</v>
      </c>
      <c r="K50" s="1">
        <v>6.1981048273304657E-3</v>
      </c>
      <c r="L50" s="1">
        <v>-6.7390830842727345E-3</v>
      </c>
      <c r="M50" s="1">
        <v>2.2391759672367496E-2</v>
      </c>
      <c r="N50" s="1">
        <v>5.5031865581551612E-2</v>
      </c>
      <c r="O50" s="1">
        <v>1.1597671754640819E-2</v>
      </c>
      <c r="P50" s="1">
        <v>4.7473421779510402E-2</v>
      </c>
      <c r="Q50" s="1">
        <v>2.5803076217948914E-2</v>
      </c>
      <c r="R50" s="1">
        <v>-9.4368700257592315E-3</v>
      </c>
      <c r="S50" s="1">
        <v>-5.0809959212347239E-2</v>
      </c>
      <c r="T50" s="1">
        <v>2.4701608240888871E-2</v>
      </c>
      <c r="U50" s="1">
        <v>1.3743655286502449E-2</v>
      </c>
      <c r="V50" s="1">
        <v>-2.6489320491711561E-2</v>
      </c>
      <c r="W50" s="1">
        <v>-1.0088744785211903E-2</v>
      </c>
      <c r="X50" s="1">
        <v>2.1524758126857304E-2</v>
      </c>
      <c r="Y50" s="1">
        <v>-1.3267430102257453E-2</v>
      </c>
      <c r="Z50" s="1">
        <v>2.4297056685865969E-2</v>
      </c>
      <c r="AA50" s="1">
        <v>1.9689693705087247E-2</v>
      </c>
      <c r="AB50" s="1">
        <v>-5.5544849639392005E-2</v>
      </c>
      <c r="AC50" s="1">
        <v>3.1283160472791623E-2</v>
      </c>
      <c r="AD50" s="1">
        <v>9.2493251516610388E-3</v>
      </c>
      <c r="AE50" s="1">
        <v>3.951245584410323E-4</v>
      </c>
      <c r="AF50" s="1">
        <v>2.0883039194338534E-3</v>
      </c>
      <c r="AG50" s="1">
        <v>-2.0044259196321888E-2</v>
      </c>
      <c r="AH50" s="1">
        <v>4.4326560818408536E-2</v>
      </c>
      <c r="AI50" s="1">
        <v>-4.3139924504585953E-2</v>
      </c>
      <c r="AJ50" s="1">
        <v>-7.6488749813039235E-3</v>
      </c>
      <c r="AK50" s="1">
        <v>7.2156296869440653E-2</v>
      </c>
      <c r="AL50" s="1">
        <v>2.1832872648082646E-2</v>
      </c>
      <c r="AM50" s="1">
        <v>-1.9066796065426616E-2</v>
      </c>
      <c r="AN50" s="1">
        <v>-4.265157324631777E-2</v>
      </c>
      <c r="AO50" s="1">
        <v>-5.3414521601520312E-2</v>
      </c>
      <c r="AP50" s="1">
        <v>-1.8023869537416203E-2</v>
      </c>
      <c r="AQ50" s="1">
        <v>5.4141855584732296E-3</v>
      </c>
      <c r="AR50" s="1">
        <v>-3.279642671477026E-2</v>
      </c>
      <c r="AS50" s="1">
        <v>1.1034416635023192E-2</v>
      </c>
      <c r="AT50" s="1">
        <v>-6.8894664889991349E-3</v>
      </c>
      <c r="AU50" s="1">
        <v>2.8417378213310293E-2</v>
      </c>
      <c r="AV50" s="1">
        <v>1.0813124851083312E-2</v>
      </c>
      <c r="AW50" s="1">
        <v>1.4345743766866498E-2</v>
      </c>
      <c r="AX50" s="1">
        <v>-5.9735031216035829E-4</v>
      </c>
      <c r="AY50" s="1">
        <v>-1.97592497068644E-2</v>
      </c>
      <c r="AZ50" s="1">
        <v>2.5168268613040754E-2</v>
      </c>
      <c r="BA50" s="1">
        <v>-5.5171221753418848E-2</v>
      </c>
      <c r="BB50" s="1">
        <v>4.5080265087181826E-2</v>
      </c>
      <c r="BC50" s="1">
        <v>-2.8845012277906177E-2</v>
      </c>
      <c r="BD50" s="1">
        <v>-2.8984870917340647E-3</v>
      </c>
      <c r="BE50" s="1">
        <v>2.5697851639590312E-2</v>
      </c>
      <c r="BF50" s="1">
        <v>-2.2892475898529985E-2</v>
      </c>
      <c r="BG50" s="1">
        <v>-3.3727690333817499E-3</v>
      </c>
      <c r="BH50" s="1">
        <v>2.7973991004125086E-2</v>
      </c>
      <c r="BI50" s="1">
        <v>-3.0075189253265262E-2</v>
      </c>
      <c r="BJ50" s="1">
        <v>-4.2217344729294903E-3</v>
      </c>
      <c r="BK50" s="1">
        <v>-1.4653242777107185E-2</v>
      </c>
      <c r="BL50" s="1">
        <v>-2.2280996130015784E-2</v>
      </c>
      <c r="BM50" s="1">
        <v>1.7354194400169706E-2</v>
      </c>
      <c r="BN50" s="1">
        <v>4.7068059821644536E-4</v>
      </c>
      <c r="BO50" s="1">
        <v>2.9879282923386017E-2</v>
      </c>
      <c r="BP50" s="1">
        <v>-1.2014967245819075E-2</v>
      </c>
      <c r="BQ50" s="1">
        <v>-5.1202282520814903E-3</v>
      </c>
      <c r="BR50" s="1">
        <v>9.8448813811041647E-2</v>
      </c>
      <c r="BS50" s="1">
        <v>5.6618429283513032E-3</v>
      </c>
      <c r="BT50" s="1">
        <v>-2.8020735361431234E-2</v>
      </c>
      <c r="BU50" s="1">
        <v>2.3945208480184867E-2</v>
      </c>
      <c r="BV50" s="1">
        <v>9.6031036967460834E-2</v>
      </c>
      <c r="BW50" s="1">
        <v>-3.1795748950564945E-2</v>
      </c>
      <c r="BX50" s="1">
        <v>-7.863048202835227E-3</v>
      </c>
      <c r="BY50" s="1">
        <v>2.3206191550159891E-2</v>
      </c>
      <c r="BZ50" s="1">
        <v>9.1786141609943427E-3</v>
      </c>
      <c r="CA50" s="1">
        <v>-2.4611506620203238E-2</v>
      </c>
      <c r="CB50" s="1">
        <v>3.3410605867429125E-2</v>
      </c>
      <c r="CC50" s="1">
        <v>3.2120055192775263E-2</v>
      </c>
      <c r="CD50" s="1">
        <v>4.9579392460697994E-2</v>
      </c>
      <c r="CE50" s="1">
        <v>-1.0612240788711893E-2</v>
      </c>
      <c r="CF50" s="1">
        <v>2.1434841202024359E-2</v>
      </c>
      <c r="CG50" s="1">
        <v>-2.6443332911959157E-2</v>
      </c>
      <c r="CH50" s="1">
        <v>4.4483750000945579E-2</v>
      </c>
      <c r="CI50" s="1">
        <v>4.1932739530852095E-2</v>
      </c>
      <c r="CJ50" s="1">
        <v>-2.1805444621766947E-2</v>
      </c>
      <c r="CK50" s="1">
        <v>-4.2572118607881487E-2</v>
      </c>
      <c r="CL50" s="1">
        <v>-9.0801819912380288E-3</v>
      </c>
      <c r="CM50" s="1">
        <v>7.0989487540825777E-2</v>
      </c>
      <c r="CN50" s="1">
        <v>-2.7898966214380459E-2</v>
      </c>
      <c r="CO50" s="1">
        <v>-1.4927585577326864E-2</v>
      </c>
      <c r="CP50" s="1">
        <v>4.4957640646922079E-2</v>
      </c>
      <c r="CQ50" s="1">
        <v>2.053802332704234E-2</v>
      </c>
      <c r="CR50" s="1">
        <v>-7.6321713846605379E-3</v>
      </c>
      <c r="CS50" s="1">
        <v>1.0470628306298909E-3</v>
      </c>
      <c r="CT50" s="1">
        <v>-5.5395607417796852E-2</v>
      </c>
      <c r="CU50" s="1">
        <v>-1.104790299966266E-2</v>
      </c>
      <c r="CV50" s="1">
        <v>3.026711395224211E-2</v>
      </c>
      <c r="CW50">
        <v>2.9659348323056674E-2</v>
      </c>
    </row>
    <row r="51" spans="3:101" x14ac:dyDescent="0.35">
      <c r="C51" s="1">
        <v>2.4734526090248565E-2</v>
      </c>
      <c r="G51" s="1">
        <v>-2.3990389946357996E-2</v>
      </c>
      <c r="J51" s="1">
        <v>1.3925207478828328E-2</v>
      </c>
      <c r="K51" s="1">
        <v>-1.1133353567879974E-2</v>
      </c>
      <c r="L51" s="1">
        <v>-2.5198981317780037E-2</v>
      </c>
      <c r="M51" s="1">
        <v>3.6933779851898843E-2</v>
      </c>
      <c r="N51" s="1">
        <v>4.7850156553812303E-3</v>
      </c>
      <c r="O51" s="1">
        <v>5.7186095773413048E-2</v>
      </c>
      <c r="P51" s="1">
        <v>8.8603961068100326E-3</v>
      </c>
      <c r="Q51" s="1">
        <v>-2.3124149833338437E-3</v>
      </c>
      <c r="R51" s="1">
        <v>6.4380358739674071E-2</v>
      </c>
      <c r="S51" s="1">
        <v>-7.083079413828677E-3</v>
      </c>
      <c r="T51" s="1">
        <v>2.1993831800015747E-2</v>
      </c>
      <c r="U51" s="1">
        <v>1.1924432999306454E-2</v>
      </c>
      <c r="V51" s="1">
        <v>4.1255267205014032E-2</v>
      </c>
      <c r="W51" s="1">
        <v>2.239776513192613E-2</v>
      </c>
      <c r="X51" s="1">
        <v>1.097670611209213E-2</v>
      </c>
      <c r="Y51" s="1">
        <v>3.9721496893413519E-2</v>
      </c>
      <c r="Z51" s="1">
        <v>6.3430245514433561E-2</v>
      </c>
      <c r="AA51" s="1">
        <v>-1.1156975211218705E-2</v>
      </c>
      <c r="AB51" s="1">
        <v>-1.6777700087928237E-2</v>
      </c>
      <c r="AC51" s="1">
        <v>-2.2332591802004909E-2</v>
      </c>
      <c r="AD51" s="1">
        <v>2.1471055387623846E-2</v>
      </c>
      <c r="AE51" s="1">
        <v>-2.3630139429693931E-2</v>
      </c>
      <c r="AF51" s="1">
        <v>1.4335912055497576E-2</v>
      </c>
      <c r="AG51" s="1">
        <v>-1.6157057661057066E-2</v>
      </c>
      <c r="AH51" s="1">
        <v>2.0261091825475225E-2</v>
      </c>
      <c r="AI51" s="1">
        <v>3.0085816244477875E-3</v>
      </c>
      <c r="AJ51" s="1">
        <v>3.3689271224586606E-2</v>
      </c>
      <c r="AK51" s="1">
        <v>8.0282119892231101E-3</v>
      </c>
      <c r="AL51" s="1">
        <v>1.1497548912380659E-2</v>
      </c>
      <c r="AM51" s="1">
        <v>1.7012079532571573E-2</v>
      </c>
      <c r="AN51" s="1">
        <v>1.7550413535703652E-2</v>
      </c>
      <c r="AO51" s="1">
        <v>3.893916442348111E-2</v>
      </c>
      <c r="AP51" s="1">
        <v>2.2192982971027633E-2</v>
      </c>
      <c r="AQ51" s="1">
        <v>4.6414664850274887E-2</v>
      </c>
      <c r="AR51" s="1">
        <v>4.5046460752241543E-3</v>
      </c>
      <c r="AS51" s="1">
        <v>-2.5925985808278252E-2</v>
      </c>
      <c r="AT51" s="1">
        <v>5.0756550933660244E-2</v>
      </c>
      <c r="AU51" s="1">
        <v>3.1327684418071405E-3</v>
      </c>
      <c r="AV51" s="1">
        <v>9.1532036360378894E-3</v>
      </c>
      <c r="AW51" s="1">
        <v>-5.5710866096127437E-2</v>
      </c>
      <c r="AX51" s="1">
        <v>5.8192223983787863E-3</v>
      </c>
      <c r="AY51" s="1">
        <v>-1.4116004015913158E-2</v>
      </c>
      <c r="AZ51" s="1">
        <v>-8.0386539645934171E-3</v>
      </c>
      <c r="BA51" s="1">
        <v>-1.2997424691296635E-2</v>
      </c>
      <c r="BB51" s="1">
        <v>-4.7084297662204049E-3</v>
      </c>
      <c r="BC51" s="1">
        <v>1.1724988849245738E-2</v>
      </c>
      <c r="BD51" s="1">
        <v>1.6372150880038284E-2</v>
      </c>
      <c r="BE51" s="1">
        <v>-1.1821269544893008E-2</v>
      </c>
      <c r="BF51" s="1">
        <v>5.9000374757420634E-2</v>
      </c>
      <c r="BG51" s="1">
        <v>-8.0439211841049438E-3</v>
      </c>
      <c r="BH51" s="1">
        <v>-2.5903255367272077E-2</v>
      </c>
      <c r="BI51" s="1">
        <v>1.1426961439265831E-2</v>
      </c>
      <c r="BJ51" s="1">
        <v>-7.397731651202364E-3</v>
      </c>
      <c r="BK51" s="1">
        <v>-8.9213886095091191E-3</v>
      </c>
      <c r="BL51" s="1">
        <v>3.0045150276183152E-2</v>
      </c>
      <c r="BM51" s="1">
        <v>-1.6587879444918744E-2</v>
      </c>
      <c r="BN51" s="1">
        <v>-3.4981881161957086E-3</v>
      </c>
      <c r="BO51" s="1">
        <v>-4.1034608014976545E-3</v>
      </c>
      <c r="BP51" s="1">
        <v>-1.2842096240006578E-2</v>
      </c>
      <c r="BQ51" s="1">
        <v>5.1746500843900339E-2</v>
      </c>
      <c r="BR51" s="1">
        <v>2.5951007682916472E-2</v>
      </c>
      <c r="BS51" s="1">
        <v>1.8752676427220068E-2</v>
      </c>
      <c r="BT51" s="1">
        <v>-2.2835538158649776E-2</v>
      </c>
      <c r="BU51" s="1">
        <v>2.8651757000496197E-2</v>
      </c>
      <c r="BV51" s="1">
        <v>-1.3959741599118603E-2</v>
      </c>
      <c r="BW51" s="1">
        <v>2.3277342027326082E-2</v>
      </c>
      <c r="BX51" s="1">
        <v>1.0008171192023409E-3</v>
      </c>
      <c r="BY51" s="1">
        <v>-6.4690376645225797E-2</v>
      </c>
      <c r="BZ51" s="1">
        <v>-1.3501066001532364E-3</v>
      </c>
      <c r="CA51" s="1">
        <v>4.5966845973273829E-2</v>
      </c>
      <c r="CB51" s="1">
        <v>1.5747414348398193E-2</v>
      </c>
      <c r="CC51" s="1">
        <v>3.8405463609992134E-2</v>
      </c>
      <c r="CD51" s="1">
        <v>5.232171537357562E-3</v>
      </c>
      <c r="CE51" s="1">
        <v>-1.4193029209580897E-2</v>
      </c>
      <c r="CF51" s="1">
        <v>2.2631386930916365E-2</v>
      </c>
      <c r="CG51" s="1">
        <v>2.487197428933528E-2</v>
      </c>
      <c r="CH51" s="1">
        <v>1.4544554267689521E-2</v>
      </c>
      <c r="CI51" s="1">
        <v>-1.6067095552990057E-2</v>
      </c>
      <c r="CJ51" s="1">
        <v>2.3147382383146798E-3</v>
      </c>
      <c r="CK51" s="1">
        <v>5.8026742144884041E-2</v>
      </c>
      <c r="CL51" s="1">
        <v>1.3616877291590217E-2</v>
      </c>
      <c r="CM51" s="1">
        <v>-6.540986114403867E-2</v>
      </c>
      <c r="CN51" s="1">
        <v>-1.3426769515351652E-2</v>
      </c>
      <c r="CO51" s="1">
        <v>-4.77692838417626E-3</v>
      </c>
      <c r="CP51" s="1">
        <v>5.9926370362241134E-3</v>
      </c>
      <c r="CQ51" s="1">
        <v>6.1793388738740518E-2</v>
      </c>
      <c r="CR51" s="1">
        <v>3.8804030187504515E-2</v>
      </c>
      <c r="CS51" s="1">
        <v>7.6168703815908401E-4</v>
      </c>
      <c r="CT51" s="1">
        <v>-1.7670320611021695E-2</v>
      </c>
      <c r="CU51" s="1">
        <v>-7.1044767812979484E-3</v>
      </c>
      <c r="CV51" s="1">
        <v>3.3922530523988081E-2</v>
      </c>
      <c r="CW51">
        <v>-1.3339476791845287E-2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542E3-5759-489D-85C3-2F2712B59C1B}">
  <dimension ref="A1:CV39"/>
  <sheetViews>
    <sheetView workbookViewId="0">
      <selection activeCell="H21" sqref="H21"/>
    </sheetView>
  </sheetViews>
  <sheetFormatPr defaultRowHeight="14.5" x14ac:dyDescent="0.35"/>
  <cols>
    <col min="1" max="1" width="11" style="22" customWidth="1"/>
    <col min="2" max="2" width="12.453125" style="1" bestFit="1" customWidth="1"/>
    <col min="3" max="3" width="8.7265625" style="1"/>
    <col min="4" max="4" width="16.36328125" style="1" customWidth="1"/>
    <col min="5" max="5" width="16.7265625" style="1" customWidth="1"/>
    <col min="6" max="6" width="16.1796875" style="1" customWidth="1"/>
    <col min="7" max="7" width="15" style="1" customWidth="1"/>
    <col min="8" max="8" width="17.453125" style="1" customWidth="1"/>
    <col min="9" max="100" width="8.7265625" style="1"/>
  </cols>
  <sheetData>
    <row r="1" spans="1:100" ht="15" thickBot="1" x14ac:dyDescent="0.4">
      <c r="A1" s="169" t="s">
        <v>0</v>
      </c>
    </row>
    <row r="2" spans="1:100" ht="15" thickBot="1" x14ac:dyDescent="0.4">
      <c r="A2" s="115">
        <v>45383</v>
      </c>
      <c r="B2" s="1">
        <v>1.4765147465393827E-2</v>
      </c>
      <c r="C2" s="1">
        <v>4.3588671737183719E-4</v>
      </c>
      <c r="D2" s="1">
        <v>9.2885741351026938E-3</v>
      </c>
      <c r="E2" s="1">
        <v>-1.1992219952634432E-2</v>
      </c>
      <c r="F2" s="1">
        <v>-2.228706564789355E-2</v>
      </c>
      <c r="G2" s="1">
        <v>3.0760384104303637E-2</v>
      </c>
      <c r="H2" s="1">
        <v>-3.1879871410463535E-2</v>
      </c>
      <c r="I2" s="1">
        <v>-4.4201758587198887E-2</v>
      </c>
      <c r="J2" s="1">
        <v>-2.5343784876172618E-2</v>
      </c>
      <c r="K2" s="1">
        <v>3.080209895348714E-2</v>
      </c>
      <c r="L2" s="1">
        <v>2.9321577974236564E-2</v>
      </c>
      <c r="M2" s="1">
        <v>-5.4673599410106272E-2</v>
      </c>
      <c r="N2" s="1">
        <v>-3.6117891186082725E-2</v>
      </c>
      <c r="O2" s="1">
        <v>3.0131179354880955E-2</v>
      </c>
      <c r="P2" s="1">
        <v>7.293339082888939E-3</v>
      </c>
      <c r="Q2" s="1">
        <v>3.1618411807022517E-2</v>
      </c>
      <c r="R2" s="1">
        <v>1.8142323411707555E-3</v>
      </c>
      <c r="S2" s="1">
        <v>-1.0265289639395894E-2</v>
      </c>
      <c r="T2" s="1">
        <v>-3.9117826683802677E-3</v>
      </c>
      <c r="U2" s="1">
        <v>1.795282505687084E-2</v>
      </c>
      <c r="V2" s="1">
        <v>-2.6355743887199651E-2</v>
      </c>
      <c r="W2" s="1">
        <v>9.4139990483141037E-3</v>
      </c>
      <c r="X2" s="1">
        <v>4.9769528172184378E-2</v>
      </c>
      <c r="Y2" s="1">
        <v>1.1835562804412426E-2</v>
      </c>
      <c r="Z2" s="1">
        <v>1.1622491481118508E-2</v>
      </c>
      <c r="AA2" s="1">
        <v>7.0978900739585293E-2</v>
      </c>
      <c r="AB2" s="1">
        <v>-2.0048247677413563E-3</v>
      </c>
      <c r="AC2" s="1">
        <v>-3.4098731956797697E-2</v>
      </c>
      <c r="AD2" s="1">
        <v>1.9943607294446986E-2</v>
      </c>
      <c r="AE2" s="1">
        <v>4.6358911139102385E-2</v>
      </c>
      <c r="AF2" s="1">
        <v>-1.7241147118953651E-2</v>
      </c>
      <c r="AG2" s="1">
        <v>2.0667905704986254E-2</v>
      </c>
      <c r="AH2" s="1">
        <v>2.1015754667024138E-2</v>
      </c>
      <c r="AI2" s="1">
        <v>-4.9445131509579738E-3</v>
      </c>
      <c r="AJ2" s="1">
        <v>2.8994406201895109E-2</v>
      </c>
      <c r="AK2" s="1">
        <v>1.1966233365024902E-2</v>
      </c>
      <c r="AL2" s="1">
        <v>3.5820294538866128E-2</v>
      </c>
      <c r="AM2" s="1">
        <v>1.7241366872343952E-2</v>
      </c>
      <c r="AN2" s="1">
        <v>-1.4079977450940015E-2</v>
      </c>
      <c r="AO2" s="1">
        <v>-1.8467837755291358E-2</v>
      </c>
      <c r="AP2" s="1">
        <v>-8.4225320909909925E-3</v>
      </c>
      <c r="AQ2" s="1">
        <v>6.6367826671376667E-2</v>
      </c>
      <c r="AR2" s="1">
        <v>2.5885107511000358E-2</v>
      </c>
      <c r="AS2" s="1">
        <v>-2.0519983165002392E-2</v>
      </c>
      <c r="AT2" s="1">
        <v>-2.6136415301687168E-2</v>
      </c>
      <c r="AU2" s="1">
        <v>1.491928499085571E-2</v>
      </c>
      <c r="AV2" s="1">
        <v>-4.5560208018036201E-3</v>
      </c>
      <c r="AW2" s="1">
        <v>-6.3548869529224542E-3</v>
      </c>
      <c r="AX2" s="1">
        <v>-4.7965079891458149E-3</v>
      </c>
      <c r="AY2" s="1">
        <v>3.0940947961636805E-2</v>
      </c>
      <c r="AZ2" s="1">
        <v>7.2219749208362896E-2</v>
      </c>
      <c r="BA2" s="1">
        <v>-1.063449155291912E-2</v>
      </c>
      <c r="BB2" s="1">
        <v>-9.0251237944881761E-3</v>
      </c>
      <c r="BC2" s="1">
        <v>1.1857774650358976E-3</v>
      </c>
      <c r="BD2" s="1">
        <v>2.0256147916706168E-2</v>
      </c>
      <c r="BE2" s="1">
        <v>5.0940526253047569E-2</v>
      </c>
      <c r="BF2" s="1">
        <v>2.8495721743284585E-2</v>
      </c>
      <c r="BG2" s="1">
        <v>-1.1387386978145446E-2</v>
      </c>
      <c r="BH2" s="1">
        <v>3.8188701953124099E-2</v>
      </c>
      <c r="BI2" s="1">
        <v>3.3712840249863131E-2</v>
      </c>
      <c r="BJ2" s="1">
        <v>7.9031602422801217E-2</v>
      </c>
      <c r="BK2" s="1">
        <v>2.2914035350770658E-2</v>
      </c>
      <c r="BL2" s="1">
        <v>9.8492173708428447E-3</v>
      </c>
      <c r="BM2" s="1">
        <v>1.3018084493181703E-2</v>
      </c>
      <c r="BN2" s="1">
        <v>-3.9480927141339259E-2</v>
      </c>
      <c r="BO2" s="1">
        <v>7.1807260482627006E-2</v>
      </c>
      <c r="BP2" s="1">
        <v>2.5112717265680234E-3</v>
      </c>
      <c r="BQ2" s="1">
        <v>-2.0010075080279043E-2</v>
      </c>
      <c r="BR2" s="1">
        <v>2.3677958404836396E-2</v>
      </c>
      <c r="BS2" s="1">
        <v>2.9954400233366381E-2</v>
      </c>
      <c r="BT2" s="1">
        <v>3.5127496910799041E-2</v>
      </c>
      <c r="BU2" s="1">
        <v>1.5100206992724779E-2</v>
      </c>
      <c r="BV2" s="1">
        <v>-2.2064366879641195E-2</v>
      </c>
      <c r="BW2" s="1">
        <v>2.281109408247519E-2</v>
      </c>
      <c r="BX2" s="1">
        <v>2.8506881406167403E-2</v>
      </c>
      <c r="BY2" s="1">
        <v>-4.6757509499416393E-2</v>
      </c>
      <c r="BZ2" s="1">
        <v>9.2798180932176771E-3</v>
      </c>
      <c r="CA2" s="1">
        <v>-1.79022565864316E-2</v>
      </c>
      <c r="CB2" s="1">
        <v>-2.3832540785216332E-2</v>
      </c>
      <c r="CC2" s="1">
        <v>1.0145760854650937E-2</v>
      </c>
      <c r="CD2" s="1">
        <v>3.0441830063717899E-2</v>
      </c>
      <c r="CE2" s="1">
        <v>-1.3912101478991402E-2</v>
      </c>
      <c r="CF2" s="1">
        <v>4.9673106789413501E-2</v>
      </c>
      <c r="CG2" s="1">
        <v>-9.9726852721098713E-3</v>
      </c>
      <c r="CH2" s="1">
        <v>-2.0248697667692482E-3</v>
      </c>
      <c r="CI2" s="1">
        <v>-3.574678716188614E-3</v>
      </c>
      <c r="CJ2" s="1">
        <v>1.8843284663228252E-2</v>
      </c>
      <c r="CK2" s="1">
        <v>-3.9060590055068171E-2</v>
      </c>
      <c r="CL2" s="1">
        <v>2.7891083397732289E-3</v>
      </c>
      <c r="CM2" s="1">
        <v>-9.3446619820298331E-3</v>
      </c>
      <c r="CN2" s="1">
        <v>1.4990341507753097E-2</v>
      </c>
      <c r="CO2" s="1">
        <v>-3.4404603933825467E-2</v>
      </c>
      <c r="CP2" s="1">
        <v>3.1919179098977984E-2</v>
      </c>
      <c r="CQ2" s="1">
        <v>-9.3709549828023802E-4</v>
      </c>
      <c r="CR2" s="1">
        <v>-4.9746896379936886E-2</v>
      </c>
      <c r="CS2" s="1">
        <v>-2.2255793929614461E-2</v>
      </c>
      <c r="CT2" s="1">
        <v>8.8994551812890121E-3</v>
      </c>
      <c r="CU2" s="1">
        <v>-4.6391872834823005E-3</v>
      </c>
      <c r="CV2" s="164"/>
    </row>
    <row r="3" spans="1:100" ht="15" thickBot="1" x14ac:dyDescent="0.4">
      <c r="A3" s="23">
        <v>45413</v>
      </c>
      <c r="B3" s="1">
        <v>2.2382910467528255E-2</v>
      </c>
      <c r="C3" s="1">
        <v>-1.5117697203568769E-2</v>
      </c>
      <c r="D3" s="1">
        <v>5.9346479392078412E-2</v>
      </c>
      <c r="E3" s="1">
        <v>-2.4251112673203335E-2</v>
      </c>
      <c r="F3" s="1">
        <v>-4.4879984230899407E-3</v>
      </c>
      <c r="G3" s="1">
        <v>-6.231857200650494E-3</v>
      </c>
      <c r="H3" s="1">
        <v>-4.5221654106410457E-2</v>
      </c>
      <c r="I3" s="1">
        <v>2.6470008468515039E-2</v>
      </c>
      <c r="J3" s="1">
        <v>3.8662160954851872E-2</v>
      </c>
      <c r="K3" s="1">
        <v>9.4223800410655895E-3</v>
      </c>
      <c r="L3" s="1">
        <v>3.4501300459255799E-2</v>
      </c>
      <c r="M3" s="1">
        <v>-4.4031356166621812E-3</v>
      </c>
      <c r="N3" s="1">
        <v>2.6974518873418174E-2</v>
      </c>
      <c r="O3" s="1">
        <v>3.054825876662284E-2</v>
      </c>
      <c r="P3" s="1">
        <v>-2.2160402242292838E-2</v>
      </c>
      <c r="Q3" s="1">
        <v>9.9311352730560316E-3</v>
      </c>
      <c r="R3" s="1">
        <v>1.7606245648586143E-2</v>
      </c>
      <c r="S3" s="1">
        <v>2.4185129005734187E-2</v>
      </c>
      <c r="T3" s="1">
        <v>1.8168761586200548E-2</v>
      </c>
      <c r="U3" s="1">
        <v>4.7551467714720651E-3</v>
      </c>
      <c r="V3" s="1">
        <v>-2.3906359638221551E-2</v>
      </c>
      <c r="W3" s="1">
        <v>1.3837029187181282E-2</v>
      </c>
      <c r="X3" s="1">
        <v>8.5577023265475897E-3</v>
      </c>
      <c r="Y3" s="1">
        <v>1.6092273127646946E-2</v>
      </c>
      <c r="Z3" s="1">
        <v>-1.3266693946316084E-2</v>
      </c>
      <c r="AA3" s="1">
        <v>3.6546853381066904E-2</v>
      </c>
      <c r="AB3" s="1">
        <v>-1.699853136956251E-2</v>
      </c>
      <c r="AC3" s="1">
        <v>3.6172092403118611E-2</v>
      </c>
      <c r="AD3" s="1">
        <v>-1.816405182556797E-3</v>
      </c>
      <c r="AE3" s="1">
        <v>1.0651919459084752E-2</v>
      </c>
      <c r="AF3" s="1">
        <v>-7.1614877335905965E-3</v>
      </c>
      <c r="AG3" s="1">
        <v>3.5661650254939628E-2</v>
      </c>
      <c r="AH3" s="1">
        <v>1.804778521851607E-2</v>
      </c>
      <c r="AI3" s="1">
        <v>2.6455389059974032E-2</v>
      </c>
      <c r="AJ3" s="1">
        <v>6.991041459994702E-4</v>
      </c>
      <c r="AK3" s="1">
        <v>4.8984610217543585E-3</v>
      </c>
      <c r="AL3" s="1">
        <v>-2.7048439607076476E-2</v>
      </c>
      <c r="AM3" s="1">
        <v>-4.0830318905355135E-2</v>
      </c>
      <c r="AN3" s="1">
        <v>6.0547986894453993E-3</v>
      </c>
      <c r="AO3" s="1">
        <v>2.9692648518718136E-3</v>
      </c>
      <c r="AP3" s="1">
        <v>3.7172055415018626E-2</v>
      </c>
      <c r="AQ3" s="1">
        <v>-2.3953763417934888E-2</v>
      </c>
      <c r="AR3" s="1">
        <v>-2.6126940586996033E-2</v>
      </c>
      <c r="AS3" s="1">
        <v>5.9679224230041329E-2</v>
      </c>
      <c r="AT3" s="1">
        <v>3.061618529529541E-2</v>
      </c>
      <c r="AU3" s="1">
        <v>-3.4761773508500501E-2</v>
      </c>
      <c r="AV3" s="1">
        <v>-3.0801400394643737E-2</v>
      </c>
      <c r="AW3" s="1">
        <v>1.5647503250769617E-2</v>
      </c>
      <c r="AX3" s="1">
        <v>-2.9018365172660283E-2</v>
      </c>
      <c r="AY3" s="1">
        <v>8.6745511996931916E-3</v>
      </c>
      <c r="AZ3" s="1">
        <v>4.0225953992923412E-2</v>
      </c>
      <c r="BA3" s="1">
        <v>-7.4969571366498202E-4</v>
      </c>
      <c r="BB3" s="1">
        <v>1.6686830799458412E-2</v>
      </c>
      <c r="BC3" s="1">
        <v>2.686251654280623E-2</v>
      </c>
      <c r="BD3" s="1">
        <v>1.9197794675342109E-2</v>
      </c>
      <c r="BE3" s="1">
        <v>4.6368507866626028E-4</v>
      </c>
      <c r="BF3" s="1">
        <v>4.2776462963759511E-3</v>
      </c>
      <c r="BG3" s="1">
        <v>6.5409654780393808E-3</v>
      </c>
      <c r="BH3" s="1">
        <v>3.2937147347004557E-2</v>
      </c>
      <c r="BI3" s="1">
        <v>2.1012809280916415E-2</v>
      </c>
      <c r="BJ3" s="1">
        <v>6.5950128571775082E-2</v>
      </c>
      <c r="BK3" s="1">
        <v>-2.2429348754246192E-2</v>
      </c>
      <c r="BL3" s="1">
        <v>-7.2836857201797811E-3</v>
      </c>
      <c r="BM3" s="1">
        <v>5.2776146163662349E-3</v>
      </c>
      <c r="BN3" s="1">
        <v>3.982043864236269E-2</v>
      </c>
      <c r="BO3" s="1">
        <v>3.3513340452632802E-2</v>
      </c>
      <c r="BP3" s="1">
        <v>6.4733086767257211E-2</v>
      </c>
      <c r="BQ3" s="1">
        <v>-2.3929449722801342E-2</v>
      </c>
      <c r="BR3" s="1">
        <v>-2.5310221796282706E-3</v>
      </c>
      <c r="BS3" s="1">
        <v>5.6955642198918646E-2</v>
      </c>
      <c r="BT3" s="1">
        <v>4.1914678917938354E-2</v>
      </c>
      <c r="BU3" s="1">
        <v>3.7133456330579871E-2</v>
      </c>
      <c r="BV3" s="1">
        <v>4.3312176059461414E-3</v>
      </c>
      <c r="BW3" s="1">
        <v>-1.6482890161549146E-2</v>
      </c>
      <c r="BX3" s="1">
        <v>1.8437130138122208E-2</v>
      </c>
      <c r="BY3" s="1">
        <v>4.0263864959298575E-2</v>
      </c>
      <c r="BZ3" s="1">
        <v>1.6259105482624645E-2</v>
      </c>
      <c r="CA3" s="1">
        <v>-2.6981213970054974E-2</v>
      </c>
      <c r="CB3" s="1">
        <v>1.1092049610639879E-2</v>
      </c>
      <c r="CC3" s="1">
        <v>2.7828736940088E-2</v>
      </c>
      <c r="CD3" s="1">
        <v>3.2370435910527608E-2</v>
      </c>
      <c r="CE3" s="1">
        <v>-1.4499727380504243E-2</v>
      </c>
      <c r="CF3" s="1">
        <v>8.7206689976222201E-3</v>
      </c>
      <c r="CG3" s="1">
        <v>4.3535485152127927E-2</v>
      </c>
      <c r="CH3" s="1">
        <v>1.6733280784454315E-3</v>
      </c>
      <c r="CI3" s="1">
        <v>-1.8083021661601259E-3</v>
      </c>
      <c r="CJ3" s="1">
        <v>1.782110167529127E-2</v>
      </c>
      <c r="CK3" s="1">
        <v>-1.8244305194836663E-2</v>
      </c>
      <c r="CL3" s="1">
        <v>-3.7494330648436019E-2</v>
      </c>
      <c r="CM3" s="1">
        <v>-3.2799735136816228E-2</v>
      </c>
      <c r="CN3" s="1">
        <v>1.4481787323891313E-2</v>
      </c>
      <c r="CO3" s="1">
        <v>-2.3561561470434485E-2</v>
      </c>
      <c r="CP3" s="1">
        <v>-3.1703691823915595E-2</v>
      </c>
      <c r="CQ3" s="1">
        <v>1.3080317609572177E-3</v>
      </c>
      <c r="CR3" s="1">
        <v>-1.2245040869763052E-2</v>
      </c>
      <c r="CS3" s="1">
        <v>5.53539792320926E-3</v>
      </c>
      <c r="CT3" s="1">
        <v>-1.4621537529835239E-2</v>
      </c>
      <c r="CU3" s="1">
        <v>-8.1644200522477534E-3</v>
      </c>
      <c r="CV3" s="164"/>
    </row>
    <row r="4" spans="1:100" ht="15" thickBot="1" x14ac:dyDescent="0.4">
      <c r="A4" s="23">
        <v>45444</v>
      </c>
      <c r="B4" s="1">
        <v>2.4333454543713329E-2</v>
      </c>
      <c r="C4" s="1">
        <v>3.2404603251443856E-2</v>
      </c>
      <c r="D4" s="1">
        <v>1.8443204285684921E-2</v>
      </c>
      <c r="E4" s="1">
        <v>-5.1490884138401513E-2</v>
      </c>
      <c r="F4" s="1">
        <v>-2.8103587068821521E-2</v>
      </c>
      <c r="G4" s="1">
        <v>6.2937699871064932E-3</v>
      </c>
      <c r="H4" s="1">
        <v>5.3099824388402779E-2</v>
      </c>
      <c r="I4" s="1">
        <v>2.6906073163809732E-2</v>
      </c>
      <c r="J4" s="1">
        <v>2.4242173474794185E-2</v>
      </c>
      <c r="K4" s="1">
        <v>-6.0882605236423958E-3</v>
      </c>
      <c r="L4" s="1">
        <v>1.6014557418725227E-2</v>
      </c>
      <c r="M4" s="1">
        <v>-6.1549983971847478E-3</v>
      </c>
      <c r="N4" s="1">
        <v>2.7565209033832586E-2</v>
      </c>
      <c r="O4" s="1">
        <v>3.4098053710668749E-2</v>
      </c>
      <c r="P4" s="1">
        <v>3.7574020590064074E-3</v>
      </c>
      <c r="Q4" s="1">
        <v>3.0253564399615011E-2</v>
      </c>
      <c r="R4" s="1">
        <v>3.740341946593817E-2</v>
      </c>
      <c r="S4" s="1">
        <v>-3.3748345059856945E-2</v>
      </c>
      <c r="T4" s="1">
        <v>-6.7647788290213636E-3</v>
      </c>
      <c r="U4" s="1">
        <v>2.1121562974284702E-2</v>
      </c>
      <c r="V4" s="1">
        <v>3.2373951635605532E-2</v>
      </c>
      <c r="W4" s="1">
        <v>3.5548974271751833E-2</v>
      </c>
      <c r="X4" s="1">
        <v>-4.6638947512084193E-3</v>
      </c>
      <c r="Y4" s="1">
        <v>-7.0992553122590455E-4</v>
      </c>
      <c r="Z4" s="1">
        <v>2.1744622915464678E-2</v>
      </c>
      <c r="AA4" s="1">
        <v>5.5336154867347311E-3</v>
      </c>
      <c r="AB4" s="1">
        <v>2.559979466915974E-2</v>
      </c>
      <c r="AC4" s="1">
        <v>-3.6325582094104891E-3</v>
      </c>
      <c r="AD4" s="1">
        <v>1.1150371134978913E-2</v>
      </c>
      <c r="AE4" s="1">
        <v>1.7846746465125744E-2</v>
      </c>
      <c r="AF4" s="1">
        <v>-2.6564794848011584E-2</v>
      </c>
      <c r="AG4" s="1">
        <v>-3.7725345263973656E-2</v>
      </c>
      <c r="AH4" s="1">
        <v>-6.0194224351290794E-3</v>
      </c>
      <c r="AI4" s="1">
        <v>-1.9373252969881002E-2</v>
      </c>
      <c r="AJ4" s="1">
        <v>1.297730554267415E-2</v>
      </c>
      <c r="AK4" s="1">
        <v>1.7931655938073429E-3</v>
      </c>
      <c r="AL4" s="1">
        <v>3.8993940397748034E-2</v>
      </c>
      <c r="AM4" s="1">
        <v>-1.2677204450137369E-2</v>
      </c>
      <c r="AN4" s="1">
        <v>1.2269205413299102E-2</v>
      </c>
      <c r="AO4" s="1">
        <v>-2.6513299291362393E-2</v>
      </c>
      <c r="AP4" s="1">
        <v>-1.7389357140997604E-2</v>
      </c>
      <c r="AQ4" s="1">
        <v>1.9765352522715614E-2</v>
      </c>
      <c r="AR4" s="1">
        <v>4.6031182143335E-2</v>
      </c>
      <c r="AS4" s="1">
        <v>-1.3681926873132359E-2</v>
      </c>
      <c r="AT4" s="1">
        <v>-2.7563468329071207E-3</v>
      </c>
      <c r="AU4" s="1">
        <v>-1.7512287626686739E-2</v>
      </c>
      <c r="AV4" s="1">
        <v>-4.3942773547065049E-3</v>
      </c>
      <c r="AW4" s="1">
        <v>4.0267663861323546E-3</v>
      </c>
      <c r="AX4" s="1">
        <v>1.0030222090571469E-2</v>
      </c>
      <c r="AY4" s="1">
        <v>-1.6642056458039935E-2</v>
      </c>
      <c r="AZ4" s="1">
        <v>3.2286496126675467E-2</v>
      </c>
      <c r="BA4" s="1">
        <v>-2.1763497137368599E-2</v>
      </c>
      <c r="BB4" s="1">
        <v>4.5314249823382717E-2</v>
      </c>
      <c r="BC4" s="1">
        <v>4.8070803693456413E-2</v>
      </c>
      <c r="BD4" s="1">
        <v>3.6314966947920135E-3</v>
      </c>
      <c r="BE4" s="1">
        <v>5.2827581296169849E-3</v>
      </c>
      <c r="BF4" s="1">
        <v>6.9877566266479604E-2</v>
      </c>
      <c r="BG4" s="1">
        <v>-1.7126772975104045E-2</v>
      </c>
      <c r="BH4" s="1">
        <v>7.1240491615930639E-3</v>
      </c>
      <c r="BI4" s="1">
        <v>-5.9010799854073565E-5</v>
      </c>
      <c r="BJ4" s="1">
        <v>2.6914152114502453E-2</v>
      </c>
      <c r="BK4" s="1">
        <v>1.6994981050356284E-2</v>
      </c>
      <c r="BL4" s="1">
        <v>-3.020152773834105E-2</v>
      </c>
      <c r="BM4" s="1">
        <v>-2.1733430994977418E-2</v>
      </c>
      <c r="BN4" s="1">
        <v>-5.2234183630526015E-3</v>
      </c>
      <c r="BO4" s="1">
        <v>-5.4975382973170969E-3</v>
      </c>
      <c r="BP4" s="1">
        <v>-8.9417352697684291E-3</v>
      </c>
      <c r="BQ4" s="1">
        <v>3.8598937655970438E-3</v>
      </c>
      <c r="BR4" s="1">
        <v>-3.2162774071480139E-2</v>
      </c>
      <c r="BS4" s="1">
        <v>-7.8225447314690805E-3</v>
      </c>
      <c r="BT4" s="1">
        <v>1.33130017269888E-2</v>
      </c>
      <c r="BU4" s="1">
        <v>-9.6904299000276049E-3</v>
      </c>
      <c r="BV4" s="1">
        <v>9.1789497166436772E-3</v>
      </c>
      <c r="BW4" s="1">
        <v>1.1345299999469441E-2</v>
      </c>
      <c r="BX4" s="1">
        <v>-2.8323387579410681E-2</v>
      </c>
      <c r="BY4" s="1">
        <v>-6.7428643565698035E-3</v>
      </c>
      <c r="BZ4" s="1">
        <v>8.5960916417320579E-2</v>
      </c>
      <c r="CA4" s="1">
        <v>3.758016603238476E-2</v>
      </c>
      <c r="CB4" s="1">
        <v>-1.8853011000771806E-2</v>
      </c>
      <c r="CC4" s="1">
        <v>4.6677834013748094E-2</v>
      </c>
      <c r="CD4" s="1">
        <v>2.109356791429296E-3</v>
      </c>
      <c r="CE4" s="1">
        <v>4.1086402195290521E-2</v>
      </c>
      <c r="CF4" s="1">
        <v>-2.2733411770482895E-2</v>
      </c>
      <c r="CG4" s="1">
        <v>3.4228294446693432E-2</v>
      </c>
      <c r="CH4" s="1">
        <v>3.1382691630785567E-4</v>
      </c>
      <c r="CI4" s="1">
        <v>3.2479798268406454E-2</v>
      </c>
      <c r="CJ4" s="1">
        <v>1.0957887612419096E-2</v>
      </c>
      <c r="CK4" s="1">
        <v>4.5472066428380982E-2</v>
      </c>
      <c r="CL4" s="1">
        <v>1.5971420957406009E-2</v>
      </c>
      <c r="CM4" s="1">
        <v>-1.5586133266810135E-2</v>
      </c>
      <c r="CN4" s="1">
        <v>6.3520537355001242E-3</v>
      </c>
      <c r="CO4" s="1">
        <v>4.9563163617425451E-2</v>
      </c>
      <c r="CP4" s="1">
        <v>-1.2137785713538195E-2</v>
      </c>
      <c r="CQ4" s="1">
        <v>1.733857113575004E-2</v>
      </c>
      <c r="CR4" s="1">
        <v>-3.1183478695596342E-2</v>
      </c>
      <c r="CS4" s="1">
        <v>5.1910092294793202E-2</v>
      </c>
      <c r="CT4" s="1">
        <v>3.6267800677383014E-2</v>
      </c>
      <c r="CU4" s="1">
        <v>-1.1588880506489724E-2</v>
      </c>
      <c r="CV4" s="164"/>
    </row>
    <row r="5" spans="1:100" ht="15" thickBot="1" x14ac:dyDescent="0.4">
      <c r="A5" s="23">
        <v>45474</v>
      </c>
      <c r="B5" s="1">
        <v>-2.3152342712076637E-2</v>
      </c>
      <c r="C5" s="1">
        <v>9.2498569760924351E-3</v>
      </c>
      <c r="D5" s="1">
        <v>-5.0094815759935043E-4</v>
      </c>
      <c r="E5" s="1">
        <v>1.1916796445993454E-2</v>
      </c>
      <c r="F5" s="1">
        <v>4.176160726807214E-2</v>
      </c>
      <c r="G5" s="1">
        <v>4.056553475245181E-3</v>
      </c>
      <c r="H5" s="1">
        <v>5.7555493313640266E-2</v>
      </c>
      <c r="I5" s="1">
        <v>2.1821020241408168E-2</v>
      </c>
      <c r="J5" s="1">
        <v>1.2707872611864058E-2</v>
      </c>
      <c r="K5" s="1">
        <v>7.1019442715363146E-2</v>
      </c>
      <c r="L5" s="1">
        <v>7.551558854529683E-4</v>
      </c>
      <c r="M5" s="1">
        <v>1.9005760496324756E-2</v>
      </c>
      <c r="N5" s="1">
        <v>-2.9812213437419455E-4</v>
      </c>
      <c r="O5" s="1">
        <v>2.7823922059749994E-2</v>
      </c>
      <c r="P5" s="1">
        <v>4.7422236574343038E-2</v>
      </c>
      <c r="Q5" s="1">
        <v>-1.0757595615512382E-2</v>
      </c>
      <c r="R5" s="1">
        <v>2.5653789469198215E-2</v>
      </c>
      <c r="S5" s="1">
        <v>-3.1623177215441993E-2</v>
      </c>
      <c r="T5" s="1">
        <v>-3.1579338765845337E-2</v>
      </c>
      <c r="U5" s="1">
        <v>-3.5299537497015133E-4</v>
      </c>
      <c r="V5" s="1">
        <v>-9.684766341353946E-3</v>
      </c>
      <c r="W5" s="1">
        <v>4.1130430555429897E-3</v>
      </c>
      <c r="X5" s="1">
        <v>-1.9832666492336073E-2</v>
      </c>
      <c r="Y5" s="1">
        <v>-2.5966471220387099E-2</v>
      </c>
      <c r="Z5" s="1">
        <v>-5.5853090654364801E-3</v>
      </c>
      <c r="AA5" s="1">
        <v>-2.4848118569544771E-2</v>
      </c>
      <c r="AB5" s="1">
        <v>-2.773126837110303E-2</v>
      </c>
      <c r="AC5" s="1">
        <v>-3.4779292930357921E-3</v>
      </c>
      <c r="AD5" s="1">
        <v>-2.4032978755768961E-2</v>
      </c>
      <c r="AE5" s="1">
        <v>1.2636745689885423E-2</v>
      </c>
      <c r="AF5" s="1">
        <v>5.5258882104248445E-2</v>
      </c>
      <c r="AG5" s="1">
        <v>7.8251846692031099E-2</v>
      </c>
      <c r="AH5" s="1">
        <v>-6.4798919063638249E-3</v>
      </c>
      <c r="AI5" s="1">
        <v>-4.0302326325185503E-2</v>
      </c>
      <c r="AJ5" s="1">
        <v>2.704155261815001E-2</v>
      </c>
      <c r="AK5" s="1">
        <v>4.2312009479068866E-2</v>
      </c>
      <c r="AL5" s="1">
        <v>3.4537791303413556E-2</v>
      </c>
      <c r="AM5" s="1">
        <v>2.4720853012559132E-2</v>
      </c>
      <c r="AN5" s="1">
        <v>-2.4694242212421402E-2</v>
      </c>
      <c r="AO5" s="1">
        <v>1.4068658075664375E-2</v>
      </c>
      <c r="AP5" s="1">
        <v>-2.4951441292490089E-2</v>
      </c>
      <c r="AQ5" s="1">
        <v>3.4818841036332933E-2</v>
      </c>
      <c r="AR5" s="1">
        <v>-9.2917225696235659E-3</v>
      </c>
      <c r="AS5" s="1">
        <v>2.177699822502795E-2</v>
      </c>
      <c r="AT5" s="1">
        <v>1.7166382718355723E-2</v>
      </c>
      <c r="AU5" s="1">
        <v>3.8608245229488879E-2</v>
      </c>
      <c r="AV5" s="1">
        <v>-1.2686590816021588E-2</v>
      </c>
      <c r="AW5" s="1">
        <v>1.4065727861650154E-2</v>
      </c>
      <c r="AX5" s="1">
        <v>-2.6471119847293775E-2</v>
      </c>
      <c r="AY5" s="1">
        <v>3.6680553546289296E-2</v>
      </c>
      <c r="AZ5" s="1">
        <v>4.046411848105784E-2</v>
      </c>
      <c r="BA5" s="1">
        <v>5.7187947337400111E-2</v>
      </c>
      <c r="BB5" s="1">
        <v>1.8984571592504069E-2</v>
      </c>
      <c r="BC5" s="1">
        <v>4.3830176208468439E-3</v>
      </c>
      <c r="BD5" s="1">
        <v>-4.2885056950556283E-3</v>
      </c>
      <c r="BE5" s="1">
        <v>1.5066564092143554E-2</v>
      </c>
      <c r="BF5" s="1">
        <v>1.725337889728067E-2</v>
      </c>
      <c r="BG5" s="1">
        <v>6.5329470442426468E-3</v>
      </c>
      <c r="BH5" s="1">
        <v>1.449764638948221E-2</v>
      </c>
      <c r="BI5" s="1">
        <v>-2.3532282555485867E-2</v>
      </c>
      <c r="BJ5" s="1">
        <v>-2.5558374757106888E-3</v>
      </c>
      <c r="BK5" s="1">
        <v>3.3495944231824178E-2</v>
      </c>
      <c r="BL5" s="1">
        <v>2.0367314825076185E-2</v>
      </c>
      <c r="BM5" s="1">
        <v>4.8684190257844477E-2</v>
      </c>
      <c r="BN5" s="1">
        <v>2.5845990322186114E-2</v>
      </c>
      <c r="BO5" s="1">
        <v>-1.0222042323356804E-2</v>
      </c>
      <c r="BP5" s="1">
        <v>8.6997413309982813E-3</v>
      </c>
      <c r="BQ5" s="1">
        <v>2.876353479058635E-2</v>
      </c>
      <c r="BR5" s="1">
        <v>-3.4581746926697163E-4</v>
      </c>
      <c r="BS5" s="1">
        <v>1.5599396895061585E-2</v>
      </c>
      <c r="BT5" s="1">
        <v>3.1893089879763019E-2</v>
      </c>
      <c r="BU5" s="1">
        <v>-2.9521289066489858E-2</v>
      </c>
      <c r="BV5" s="1">
        <v>3.4909344879894354E-2</v>
      </c>
      <c r="BW5" s="1">
        <v>1.0495741296189454E-2</v>
      </c>
      <c r="BX5" s="1">
        <v>-4.0359018393589963E-2</v>
      </c>
      <c r="BY5" s="1">
        <v>-3.621558649031637E-3</v>
      </c>
      <c r="BZ5" s="1">
        <v>2.7174825008633784E-2</v>
      </c>
      <c r="CA5" s="1">
        <v>2.0459166631258942E-2</v>
      </c>
      <c r="CB5" s="1">
        <v>-3.5760050147938684E-2</v>
      </c>
      <c r="CC5" s="1">
        <v>3.9218097496082648E-2</v>
      </c>
      <c r="CD5" s="1">
        <v>1.4665081227919121E-2</v>
      </c>
      <c r="CE5" s="1">
        <v>1.18387471272333E-2</v>
      </c>
      <c r="CF5" s="1">
        <v>-2.7435931485941357E-2</v>
      </c>
      <c r="CG5" s="1">
        <v>-1.1523694832238866E-2</v>
      </c>
      <c r="CH5" s="1">
        <v>6.6755975441035176E-2</v>
      </c>
      <c r="CI5" s="1">
        <v>-4.5217195464525356E-3</v>
      </c>
      <c r="CJ5" s="1">
        <v>-1.2805632810015444E-2</v>
      </c>
      <c r="CK5" s="1">
        <v>1.1856408090330613E-2</v>
      </c>
      <c r="CL5" s="1">
        <v>-1.4843376444568197E-2</v>
      </c>
      <c r="CM5" s="1">
        <v>9.0568720169298539E-3</v>
      </c>
      <c r="CN5" s="1">
        <v>-4.6025211708316437E-2</v>
      </c>
      <c r="CO5" s="1">
        <v>-2.3668719756375734E-2</v>
      </c>
      <c r="CP5" s="1">
        <v>-9.0362707388988526E-4</v>
      </c>
      <c r="CQ5" s="1">
        <v>2.2316785266622109E-2</v>
      </c>
      <c r="CR5" s="1">
        <v>1.8394781060855833E-2</v>
      </c>
      <c r="CS5" s="1">
        <v>2.0912182034775618E-3</v>
      </c>
      <c r="CT5" s="1">
        <v>2.998972969412067E-3</v>
      </c>
      <c r="CU5" s="1">
        <v>6.6399436817507276E-2</v>
      </c>
      <c r="CV5" s="164"/>
    </row>
    <row r="6" spans="1:100" ht="15" thickBot="1" x14ac:dyDescent="0.4">
      <c r="A6" s="23">
        <v>45505</v>
      </c>
      <c r="B6" s="1">
        <v>-2.8839979137251979E-2</v>
      </c>
      <c r="C6" s="1">
        <v>1.7244068380928512E-2</v>
      </c>
      <c r="D6" s="1">
        <v>-2.6630437664014853E-2</v>
      </c>
      <c r="E6" s="1">
        <v>-4.4056500846097559E-2</v>
      </c>
      <c r="F6" s="1">
        <v>-3.5631425037548008E-2</v>
      </c>
      <c r="G6" s="1">
        <v>-1.4265755060023193E-2</v>
      </c>
      <c r="H6" s="1">
        <v>5.7196843905923098E-2</v>
      </c>
      <c r="I6" s="1">
        <v>-4.3678493057058156E-2</v>
      </c>
      <c r="J6" s="1">
        <v>3.2991183548438066E-2</v>
      </c>
      <c r="K6" s="1">
        <v>-2.507838146953113E-2</v>
      </c>
      <c r="L6" s="1">
        <v>-4.4781503450133263E-3</v>
      </c>
      <c r="M6" s="1">
        <v>5.0544016465827422E-3</v>
      </c>
      <c r="N6" s="1">
        <v>1.5096134542858167E-2</v>
      </c>
      <c r="O6" s="1">
        <v>1.2789247838421561E-2</v>
      </c>
      <c r="P6" s="1">
        <v>2.3837277980443576E-3</v>
      </c>
      <c r="Q6" s="1">
        <v>7.5715971876014421E-2</v>
      </c>
      <c r="R6" s="1">
        <v>-9.6230266663028287E-3</v>
      </c>
      <c r="S6" s="1">
        <v>3.0822097669693266E-2</v>
      </c>
      <c r="T6" s="1">
        <v>-1.1106404126011516E-3</v>
      </c>
      <c r="U6" s="1">
        <v>3.7484244708532094E-2</v>
      </c>
      <c r="V6" s="1">
        <v>1.4825222676836339E-3</v>
      </c>
      <c r="W6" s="1">
        <v>-4.5389745364432044E-3</v>
      </c>
      <c r="X6" s="1">
        <v>2.2774931977477897E-3</v>
      </c>
      <c r="Y6" s="1">
        <v>6.2977393468077902E-2</v>
      </c>
      <c r="Z6" s="1">
        <v>6.8402214270486039E-2</v>
      </c>
      <c r="AA6" s="1">
        <v>9.1089487179472212E-3</v>
      </c>
      <c r="AB6" s="1">
        <v>1.9947931454443468E-2</v>
      </c>
      <c r="AC6" s="1">
        <v>-3.8409728735786963E-2</v>
      </c>
      <c r="AD6" s="1">
        <v>6.2619420915922394E-3</v>
      </c>
      <c r="AE6" s="1">
        <v>-8.3815400465210542E-3</v>
      </c>
      <c r="AF6" s="1">
        <v>-2.3845909747162514E-2</v>
      </c>
      <c r="AG6" s="1">
        <v>5.2283356609651556E-3</v>
      </c>
      <c r="AH6" s="1">
        <v>7.7834737511461444E-2</v>
      </c>
      <c r="AI6" s="1">
        <v>2.0686315879986452E-2</v>
      </c>
      <c r="AJ6" s="1">
        <v>3.829247335412729E-2</v>
      </c>
      <c r="AK6" s="1">
        <v>-2.9796990951689592E-3</v>
      </c>
      <c r="AL6" s="1">
        <v>5.5452042271375679E-2</v>
      </c>
      <c r="AM6" s="1">
        <v>1.501580744332141E-2</v>
      </c>
      <c r="AN6" s="1">
        <v>-2.8080279846307944E-2</v>
      </c>
      <c r="AO6" s="1">
        <v>6.1046354170076504E-3</v>
      </c>
      <c r="AP6" s="1">
        <v>-2.7458782371592053E-2</v>
      </c>
      <c r="AQ6" s="1">
        <v>2.1165093222986642E-2</v>
      </c>
      <c r="AR6" s="1">
        <v>1.6377910817601427E-2</v>
      </c>
      <c r="AS6" s="1">
        <v>-1.3026892504355063E-2</v>
      </c>
      <c r="AT6" s="1">
        <v>-2.6919107952298568E-2</v>
      </c>
      <c r="AU6" s="1">
        <v>5.8945119217094187E-3</v>
      </c>
      <c r="AV6" s="1">
        <v>-2.3359366402597642E-2</v>
      </c>
      <c r="AW6" s="1">
        <v>-2.6074976495106861E-2</v>
      </c>
      <c r="AX6" s="1">
        <v>1.098770963608818E-2</v>
      </c>
      <c r="AY6" s="1">
        <v>3.9868519426956128E-2</v>
      </c>
      <c r="AZ6" s="1">
        <v>8.2812541958898304E-3</v>
      </c>
      <c r="BA6" s="1">
        <v>-9.0661381793733717E-3</v>
      </c>
      <c r="BB6" s="1">
        <v>1.2755418494975718E-2</v>
      </c>
      <c r="BC6" s="1">
        <v>1.2136524763248151E-2</v>
      </c>
      <c r="BD6" s="1">
        <v>-2.6137690179178653E-2</v>
      </c>
      <c r="BE6" s="1">
        <v>1.2240557627289244E-2</v>
      </c>
      <c r="BF6" s="1">
        <v>-4.2320390119649956E-2</v>
      </c>
      <c r="BG6" s="1">
        <v>1.7725736239032369E-2</v>
      </c>
      <c r="BH6" s="1">
        <v>2.6879951010987533E-2</v>
      </c>
      <c r="BI6" s="1">
        <v>-1.8826598348307508E-2</v>
      </c>
      <c r="BJ6" s="1">
        <v>1.5519599024453119E-2</v>
      </c>
      <c r="BK6" s="1">
        <v>2.8931517908815135E-2</v>
      </c>
      <c r="BL6" s="1">
        <v>4.6246663748049456E-2</v>
      </c>
      <c r="BM6" s="1">
        <v>1.0562315778672681E-2</v>
      </c>
      <c r="BN6" s="1">
        <v>-1.0294712790804992E-2</v>
      </c>
      <c r="BO6" s="1">
        <v>-1.1282595095061011E-2</v>
      </c>
      <c r="BP6" s="1">
        <v>-4.5378984588212165E-3</v>
      </c>
      <c r="BQ6" s="1">
        <v>-1.1707808365375844E-2</v>
      </c>
      <c r="BR6" s="1">
        <v>-2.7031689695346733E-2</v>
      </c>
      <c r="BS6" s="1">
        <v>2.4758941587421065E-3</v>
      </c>
      <c r="BT6" s="1">
        <v>-1.5688510852414017E-2</v>
      </c>
      <c r="BU6" s="1">
        <v>-5.3792719259417301E-3</v>
      </c>
      <c r="BV6" s="1">
        <v>5.2341005951937539E-2</v>
      </c>
      <c r="BW6" s="1">
        <v>4.0220987876852882E-2</v>
      </c>
      <c r="BX6" s="1">
        <v>1.004581770745476E-2</v>
      </c>
      <c r="BY6" s="1">
        <v>-4.3478102990877178E-3</v>
      </c>
      <c r="BZ6" s="1">
        <v>2.4645694980333973E-2</v>
      </c>
      <c r="CA6" s="1">
        <v>2.0398475848839009E-3</v>
      </c>
      <c r="CB6" s="1">
        <v>1.469983570470132E-2</v>
      </c>
      <c r="CC6" s="1">
        <v>3.3135866057483979E-3</v>
      </c>
      <c r="CD6" s="1">
        <v>-3.9814647103433862E-3</v>
      </c>
      <c r="CE6" s="1">
        <v>-1.0142913346250275E-2</v>
      </c>
      <c r="CF6" s="1">
        <v>2.7255141259842169E-2</v>
      </c>
      <c r="CG6" s="1">
        <v>2.7776509240654912E-3</v>
      </c>
      <c r="CH6" s="1">
        <v>1.0191140530472853E-2</v>
      </c>
      <c r="CI6" s="1">
        <v>-2.4904249992417204E-4</v>
      </c>
      <c r="CJ6" s="1">
        <v>3.5761726284127604E-2</v>
      </c>
      <c r="CK6" s="1">
        <v>3.4557839183573379E-2</v>
      </c>
      <c r="CL6" s="1">
        <v>2.6133670405126725E-2</v>
      </c>
      <c r="CM6" s="1">
        <v>8.6368372164026524E-3</v>
      </c>
      <c r="CN6" s="1">
        <v>-8.3310191648076452E-3</v>
      </c>
      <c r="CO6" s="1">
        <v>-2.7813620404124533E-2</v>
      </c>
      <c r="CP6" s="1">
        <v>-1.2284752740150413E-2</v>
      </c>
      <c r="CQ6" s="1">
        <v>3.2608346927967505E-2</v>
      </c>
      <c r="CR6" s="1">
        <v>-9.9281593736329846E-3</v>
      </c>
      <c r="CS6" s="1">
        <v>2.8947787206317001E-2</v>
      </c>
      <c r="CT6" s="1">
        <v>-1.1306217393957953E-2</v>
      </c>
      <c r="CU6" s="1">
        <v>1.3956213624316365E-2</v>
      </c>
      <c r="CV6" s="164"/>
    </row>
    <row r="7" spans="1:100" ht="15" thickBot="1" x14ac:dyDescent="0.4">
      <c r="A7" s="23">
        <v>45536</v>
      </c>
      <c r="B7" s="1">
        <v>4.2241897063774451E-2</v>
      </c>
      <c r="C7" s="1">
        <v>8.1813625332133166E-3</v>
      </c>
      <c r="D7" s="1">
        <v>3.1711475148644627E-2</v>
      </c>
      <c r="E7" s="1">
        <v>-5.3509645785217138E-3</v>
      </c>
      <c r="F7" s="1">
        <v>-3.9410954952368441E-3</v>
      </c>
      <c r="G7" s="1">
        <v>4.1379037466410251E-2</v>
      </c>
      <c r="H7" s="1">
        <v>1.6515041083994219E-2</v>
      </c>
      <c r="I7" s="1">
        <v>1.2534496033237287E-2</v>
      </c>
      <c r="J7" s="1">
        <v>2.565969437293647E-2</v>
      </c>
      <c r="K7" s="1">
        <v>1.0316673953085189E-2</v>
      </c>
      <c r="L7" s="1">
        <v>2.4333244394343038E-2</v>
      </c>
      <c r="M7" s="1">
        <v>2.2447531030228562E-4</v>
      </c>
      <c r="N7" s="1">
        <v>-2.8247280149115445E-2</v>
      </c>
      <c r="O7" s="1">
        <v>-2.7418729124338435E-2</v>
      </c>
      <c r="P7" s="1">
        <v>7.0965846489043109E-3</v>
      </c>
      <c r="Q7" s="1">
        <v>3.3902571349724353E-2</v>
      </c>
      <c r="R7" s="1">
        <v>-1.1886627595859865E-2</v>
      </c>
      <c r="S7" s="1">
        <v>-8.9948493117102159E-3</v>
      </c>
      <c r="T7" s="1">
        <v>-3.0315134304958986E-2</v>
      </c>
      <c r="U7" s="1">
        <v>4.9546870206001847E-2</v>
      </c>
      <c r="V7" s="1">
        <v>4.6716726991649346E-2</v>
      </c>
      <c r="W7" s="1">
        <v>1.1231083207190774E-3</v>
      </c>
      <c r="X7" s="1">
        <v>1.7265750231891371E-2</v>
      </c>
      <c r="Y7" s="1">
        <v>5.7867615005011228E-4</v>
      </c>
      <c r="Z7" s="1">
        <v>-1.7941616172058958E-2</v>
      </c>
      <c r="AA7" s="1">
        <v>-2.456468371812231E-3</v>
      </c>
      <c r="AB7" s="1">
        <v>1.0043510881105534E-2</v>
      </c>
      <c r="AC7" s="1">
        <v>4.6526709120570907E-2</v>
      </c>
      <c r="AD7" s="1">
        <v>2.010259822839389E-2</v>
      </c>
      <c r="AE7" s="1">
        <v>3.18783502986697E-2</v>
      </c>
      <c r="AF7" s="1">
        <v>3.0602805698260634E-2</v>
      </c>
      <c r="AG7" s="1">
        <v>3.0190116073301659E-2</v>
      </c>
      <c r="AH7" s="1">
        <v>-4.9706154478088667E-3</v>
      </c>
      <c r="AI7" s="1">
        <v>-2.115014261353431E-2</v>
      </c>
      <c r="AJ7" s="1">
        <v>4.7405292268382374E-2</v>
      </c>
      <c r="AK7" s="1">
        <v>5.7821411256727944E-3</v>
      </c>
      <c r="AL7" s="1">
        <v>2.5851594593414864E-2</v>
      </c>
      <c r="AM7" s="1">
        <v>-3.4148121384821187E-3</v>
      </c>
      <c r="AN7" s="1">
        <v>1.0484431568638574E-2</v>
      </c>
      <c r="AO7" s="1">
        <v>-2.1833078062136944E-2</v>
      </c>
      <c r="AP7" s="1">
        <v>-6.1152911549539135E-3</v>
      </c>
      <c r="AQ7" s="1">
        <v>-4.836963167579411E-3</v>
      </c>
      <c r="AR7" s="1">
        <v>8.8766123571579203E-3</v>
      </c>
      <c r="AS7" s="1">
        <v>5.9191579124665689E-3</v>
      </c>
      <c r="AT7" s="1">
        <v>4.021747292685382E-2</v>
      </c>
      <c r="AU7" s="1">
        <v>1.1086353443928703E-2</v>
      </c>
      <c r="AV7" s="1">
        <v>7.175902925596795E-3</v>
      </c>
      <c r="AW7" s="1">
        <v>1.9952850497285644E-3</v>
      </c>
      <c r="AX7" s="1">
        <v>2.3007737490285722E-2</v>
      </c>
      <c r="AY7" s="1">
        <v>4.4904883536858384E-6</v>
      </c>
      <c r="AZ7" s="1">
        <v>2.1437372882988078E-2</v>
      </c>
      <c r="BA7" s="1">
        <v>2.7547196367760266E-2</v>
      </c>
      <c r="BB7" s="1">
        <v>3.9067533649142765E-3</v>
      </c>
      <c r="BC7" s="1">
        <v>6.6453837563570567E-2</v>
      </c>
      <c r="BD7" s="1">
        <v>2.2551024761355228E-2</v>
      </c>
      <c r="BE7" s="1">
        <v>3.216185551896774E-2</v>
      </c>
      <c r="BF7" s="1">
        <v>3.6007594178196281E-2</v>
      </c>
      <c r="BG7" s="1">
        <v>2.1797239775405253E-2</v>
      </c>
      <c r="BH7" s="1">
        <v>-2.8108226634055166E-2</v>
      </c>
      <c r="BI7" s="1">
        <v>1.7162586458102291E-3</v>
      </c>
      <c r="BJ7" s="1">
        <v>6.6533510177628069E-2</v>
      </c>
      <c r="BK7" s="1">
        <v>4.0013210982485954E-3</v>
      </c>
      <c r="BL7" s="1">
        <v>-2.3233935954433273E-2</v>
      </c>
      <c r="BM7" s="1">
        <v>4.6392096920984685E-2</v>
      </c>
      <c r="BN7" s="1">
        <v>-2.4046864979001163E-2</v>
      </c>
      <c r="BO7" s="1">
        <v>4.3452755171939875E-2</v>
      </c>
      <c r="BP7" s="1">
        <v>2.6998674627697034E-2</v>
      </c>
      <c r="BQ7" s="1">
        <v>2.043488959413804E-3</v>
      </c>
      <c r="BR7" s="1">
        <v>3.1262117739143246E-2</v>
      </c>
      <c r="BS7" s="1">
        <v>4.2226344092818918E-2</v>
      </c>
      <c r="BT7" s="1">
        <v>2.3180183751470875E-2</v>
      </c>
      <c r="BU7" s="1">
        <v>1.0259287162804092E-2</v>
      </c>
      <c r="BV7" s="1">
        <v>9.7018799610819918E-3</v>
      </c>
      <c r="BW7" s="1">
        <v>8.0022170494238286E-3</v>
      </c>
      <c r="BX7" s="1">
        <v>5.9638394678044195E-2</v>
      </c>
      <c r="BY7" s="1">
        <v>1.161849387072765E-2</v>
      </c>
      <c r="BZ7" s="1">
        <v>4.2019390925710678E-2</v>
      </c>
      <c r="CA7" s="1">
        <v>-3.6390581237474809E-2</v>
      </c>
      <c r="CB7" s="1">
        <v>1.3083112783666362E-2</v>
      </c>
      <c r="CC7" s="1">
        <v>4.1049964353475292E-2</v>
      </c>
      <c r="CD7" s="1">
        <v>-1.1337585498860528E-3</v>
      </c>
      <c r="CE7" s="1">
        <v>8.9917049080524711E-2</v>
      </c>
      <c r="CF7" s="1">
        <v>2.6397928120640238E-3</v>
      </c>
      <c r="CG7" s="1">
        <v>-4.6930720572939205E-2</v>
      </c>
      <c r="CH7" s="1">
        <v>1.9511135758749149E-2</v>
      </c>
      <c r="CI7" s="1">
        <v>-1.7738855896389854E-3</v>
      </c>
      <c r="CJ7" s="1">
        <v>-2.020487923813032E-2</v>
      </c>
      <c r="CK7" s="1">
        <v>1.5101820876261038E-2</v>
      </c>
      <c r="CL7" s="1">
        <v>2.8217803557077568E-2</v>
      </c>
      <c r="CM7" s="1">
        <v>2.5993971470969674E-2</v>
      </c>
      <c r="CN7" s="1">
        <v>2.0229295269432637E-2</v>
      </c>
      <c r="CO7" s="1">
        <v>-7.4132143018046286E-3</v>
      </c>
      <c r="CP7" s="1">
        <v>-1.4229666563745452E-2</v>
      </c>
      <c r="CQ7" s="1">
        <v>1.9337482920137448E-2</v>
      </c>
      <c r="CR7" s="1">
        <v>3.0253555462439411E-2</v>
      </c>
      <c r="CS7" s="1">
        <v>4.6555540091825116E-3</v>
      </c>
      <c r="CT7" s="1">
        <v>6.3030546601315629E-3</v>
      </c>
      <c r="CU7" s="1">
        <v>3.921657251915564E-2</v>
      </c>
      <c r="CV7" s="164"/>
    </row>
    <row r="8" spans="1:100" ht="15" thickBot="1" x14ac:dyDescent="0.4">
      <c r="A8" s="23">
        <v>45566</v>
      </c>
      <c r="B8" s="1">
        <v>-1.7090489589488854E-2</v>
      </c>
      <c r="C8" s="1">
        <v>-1.525393486006555E-2</v>
      </c>
      <c r="D8" s="1">
        <v>-6.9838064859802207E-2</v>
      </c>
      <c r="E8" s="1">
        <v>-2.8377159445634469E-2</v>
      </c>
      <c r="F8" s="1">
        <v>2.303939479428624E-3</v>
      </c>
      <c r="G8" s="1">
        <v>3.8452313510412707E-2</v>
      </c>
      <c r="H8" s="1">
        <v>-3.3205042392907488E-2</v>
      </c>
      <c r="I8" s="1">
        <v>3.6021237486749187E-2</v>
      </c>
      <c r="J8" s="1">
        <v>-1.3625706944786015E-2</v>
      </c>
      <c r="K8" s="1">
        <v>7.6101670466793506E-3</v>
      </c>
      <c r="L8" s="1">
        <v>5.5696374987327983E-2</v>
      </c>
      <c r="M8" s="1">
        <v>2.832431209327467E-2</v>
      </c>
      <c r="N8" s="1">
        <v>3.3365483864746023E-3</v>
      </c>
      <c r="O8" s="1">
        <v>2.393553328066288E-2</v>
      </c>
      <c r="P8" s="1">
        <v>4.2830372916498813E-3</v>
      </c>
      <c r="Q8" s="1">
        <v>4.3502167309679082E-2</v>
      </c>
      <c r="R8" s="1">
        <v>3.8713845054571594E-2</v>
      </c>
      <c r="S8" s="1">
        <v>4.9635660837740823E-4</v>
      </c>
      <c r="T8" s="1">
        <v>8.9867336782007822E-3</v>
      </c>
      <c r="U8" s="1">
        <v>3.5181090894169487E-2</v>
      </c>
      <c r="V8" s="1">
        <v>2.9476182732198385E-2</v>
      </c>
      <c r="W8" s="1">
        <v>3.4468414833558114E-2</v>
      </c>
      <c r="X8" s="1">
        <v>4.1536107187642189E-2</v>
      </c>
      <c r="Y8" s="1">
        <v>-2.9857390194200539E-2</v>
      </c>
      <c r="Z8" s="1">
        <v>3.8170117843008941E-3</v>
      </c>
      <c r="AA8" s="1">
        <v>3.1580801908601429E-2</v>
      </c>
      <c r="AB8" s="1">
        <v>-1.1769420553957841E-2</v>
      </c>
      <c r="AC8" s="1">
        <v>-3.6270842818859764E-3</v>
      </c>
      <c r="AD8" s="1">
        <v>-2.1813651619404024E-2</v>
      </c>
      <c r="AE8" s="1">
        <v>2.0275390644950157E-2</v>
      </c>
      <c r="AF8" s="1">
        <v>7.8994128605010296E-3</v>
      </c>
      <c r="AG8" s="1">
        <v>3.3300011746052724E-2</v>
      </c>
      <c r="AH8" s="1">
        <v>3.8611511492507668E-2</v>
      </c>
      <c r="AI8" s="1">
        <v>3.7391348443109591E-3</v>
      </c>
      <c r="AJ8" s="1">
        <v>-2.943703699167757E-2</v>
      </c>
      <c r="AK8" s="1">
        <v>1.6712054391765069E-2</v>
      </c>
      <c r="AL8" s="1">
        <v>2.6466053006379185E-2</v>
      </c>
      <c r="AM8" s="1">
        <v>1.1787991902369808E-2</v>
      </c>
      <c r="AN8" s="1">
        <v>2.9152717263064495E-2</v>
      </c>
      <c r="AO8" s="1">
        <v>1.6194922925251456E-2</v>
      </c>
      <c r="AP8" s="1">
        <v>2.4623304717287395E-2</v>
      </c>
      <c r="AQ8" s="1">
        <v>-1.043919837138417E-2</v>
      </c>
      <c r="AR8" s="1">
        <v>9.646702483588801E-3</v>
      </c>
      <c r="AS8" s="1">
        <v>9.4043603242243094E-3</v>
      </c>
      <c r="AT8" s="1">
        <v>-5.5832623264190926E-3</v>
      </c>
      <c r="AU8" s="1">
        <v>-6.2464750827147192E-3</v>
      </c>
      <c r="AV8" s="1">
        <v>-5.7192218892849521E-3</v>
      </c>
      <c r="AW8" s="1">
        <v>1.8467533320269767E-4</v>
      </c>
      <c r="AX8" s="1">
        <v>2.8461178289491556E-2</v>
      </c>
      <c r="AY8" s="1">
        <v>9.8501698291397818E-3</v>
      </c>
      <c r="AZ8" s="1">
        <v>4.5549013506243435E-2</v>
      </c>
      <c r="BA8" s="1">
        <v>-5.637337948667936E-3</v>
      </c>
      <c r="BB8" s="1">
        <v>2.2984053455951298E-2</v>
      </c>
      <c r="BC8" s="1">
        <v>-3.143756322437713E-2</v>
      </c>
      <c r="BD8" s="1">
        <v>2.2236094223236875E-2</v>
      </c>
      <c r="BE8" s="1">
        <v>3.4164951926451907E-2</v>
      </c>
      <c r="BF8" s="1">
        <v>3.0610936848873005E-2</v>
      </c>
      <c r="BG8" s="1">
        <v>1.6448189254679495E-2</v>
      </c>
      <c r="BH8" s="1">
        <v>-5.1237245026094058E-2</v>
      </c>
      <c r="BI8" s="1">
        <v>1.4458584532986884E-2</v>
      </c>
      <c r="BJ8" s="1">
        <v>-4.7584270353891482E-3</v>
      </c>
      <c r="BK8" s="1">
        <v>-3.299292816536336E-2</v>
      </c>
      <c r="BL8" s="1">
        <v>1.0117911751852556E-2</v>
      </c>
      <c r="BM8" s="1">
        <v>-5.9811472991481297E-2</v>
      </c>
      <c r="BN8" s="1">
        <v>-1.233328887103706E-2</v>
      </c>
      <c r="BO8" s="1">
        <v>-3.6109024393435246E-2</v>
      </c>
      <c r="BP8" s="1">
        <v>1.9384176038944115E-2</v>
      </c>
      <c r="BQ8" s="1">
        <v>1.4379129338491267E-2</v>
      </c>
      <c r="BR8" s="1">
        <v>-1.1477539938952674E-2</v>
      </c>
      <c r="BS8" s="1">
        <v>1.7243833150102812E-2</v>
      </c>
      <c r="BT8" s="1">
        <v>2.1565174188452926E-2</v>
      </c>
      <c r="BU8" s="1">
        <v>2.0671760044954791E-3</v>
      </c>
      <c r="BV8" s="1">
        <v>-1.1203731665628158E-2</v>
      </c>
      <c r="BW8" s="1">
        <v>2.1314628686529048E-2</v>
      </c>
      <c r="BX8" s="1">
        <v>3.509920132953108E-2</v>
      </c>
      <c r="BY8" s="1">
        <v>-2.8656763125939146E-2</v>
      </c>
      <c r="BZ8" s="1">
        <v>2.0707831629412574E-2</v>
      </c>
      <c r="CA8" s="1">
        <v>4.5877824411152159E-3</v>
      </c>
      <c r="CB8" s="1">
        <v>-6.7228528839671136E-3</v>
      </c>
      <c r="CC8" s="1">
        <v>6.5457316356947372E-3</v>
      </c>
      <c r="CD8" s="1">
        <v>-6.0440533629656261E-3</v>
      </c>
      <c r="CE8" s="1">
        <v>9.0423638363758118E-3</v>
      </c>
      <c r="CF8" s="1">
        <v>3.4281395819808387E-2</v>
      </c>
      <c r="CG8" s="1">
        <v>1.2648991124841132E-2</v>
      </c>
      <c r="CH8" s="1">
        <v>1.1974639157185527E-2</v>
      </c>
      <c r="CI8" s="1">
        <v>-3.2246252737322513E-3</v>
      </c>
      <c r="CJ8" s="1">
        <v>5.8895170673457502E-2</v>
      </c>
      <c r="CK8" s="1">
        <v>2.9915789250187872E-2</v>
      </c>
      <c r="CL8" s="1">
        <v>1.5047312805114638E-2</v>
      </c>
      <c r="CM8" s="1">
        <v>4.2100032105388784E-4</v>
      </c>
      <c r="CN8" s="1">
        <v>7.7737653975984205E-3</v>
      </c>
      <c r="CO8" s="1">
        <v>-4.5579824341925E-2</v>
      </c>
      <c r="CP8" s="1">
        <v>-1.1447967773414985E-2</v>
      </c>
      <c r="CQ8" s="1">
        <v>-4.2632193107572894E-2</v>
      </c>
      <c r="CR8" s="1">
        <v>4.9730685230227549E-2</v>
      </c>
      <c r="CS8" s="1">
        <v>-3.9805448331774039E-2</v>
      </c>
      <c r="CT8" s="1">
        <v>4.3607005605426713E-2</v>
      </c>
      <c r="CU8" s="1">
        <v>5.5073072103259497E-3</v>
      </c>
      <c r="CV8" s="164"/>
    </row>
    <row r="9" spans="1:100" ht="15" thickBot="1" x14ac:dyDescent="0.4">
      <c r="A9" s="23">
        <v>45597</v>
      </c>
      <c r="B9" s="1">
        <v>2.1051503999744269E-2</v>
      </c>
      <c r="C9" s="1">
        <v>1.4672054049732408E-3</v>
      </c>
      <c r="D9" s="1">
        <v>4.3510232648363803E-2</v>
      </c>
      <c r="E9" s="1">
        <v>5.0364168746324316E-2</v>
      </c>
      <c r="F9" s="1">
        <v>-2.2251087997635928E-2</v>
      </c>
      <c r="G9" s="1">
        <v>3.1582411023352254E-3</v>
      </c>
      <c r="H9" s="1">
        <v>2.6846498351594802E-2</v>
      </c>
      <c r="I9" s="1">
        <v>4.2120286045237931E-2</v>
      </c>
      <c r="J9" s="1">
        <v>2.7925220415829528E-3</v>
      </c>
      <c r="K9" s="1">
        <v>2.1057373718532422E-2</v>
      </c>
      <c r="L9" s="1">
        <v>-1.7479375269385016E-2</v>
      </c>
      <c r="M9" s="1">
        <v>-9.0157723030346096E-5</v>
      </c>
      <c r="N9" s="1">
        <v>3.2216957160015436E-2</v>
      </c>
      <c r="O9" s="1">
        <v>-1.2703068424453977E-2</v>
      </c>
      <c r="P9" s="1">
        <v>6.1784246154996184E-4</v>
      </c>
      <c r="Q9" s="1">
        <v>2.6743959909499491E-2</v>
      </c>
      <c r="R9" s="1">
        <v>8.6303251250854241E-3</v>
      </c>
      <c r="S9" s="1">
        <v>-1.0056702425095185E-2</v>
      </c>
      <c r="T9" s="1">
        <v>-2.1436637745198901E-2</v>
      </c>
      <c r="U9" s="1">
        <v>4.0303898302264489E-3</v>
      </c>
      <c r="V9" s="1">
        <v>-2.6988263405612774E-2</v>
      </c>
      <c r="W9" s="1">
        <v>-5.7167806321492811E-3</v>
      </c>
      <c r="X9" s="1">
        <v>2.9124034850891812E-2</v>
      </c>
      <c r="Y9" s="1">
        <v>2.9017354100048281E-2</v>
      </c>
      <c r="Z9" s="1">
        <v>-3.1893954612609944E-2</v>
      </c>
      <c r="AA9" s="1">
        <v>-1.1227127377458615E-3</v>
      </c>
      <c r="AB9" s="1">
        <v>-1.6266579297409649E-2</v>
      </c>
      <c r="AC9" s="1">
        <v>2.8412643080758639E-3</v>
      </c>
      <c r="AD9" s="1">
        <v>3.5645803042290071E-2</v>
      </c>
      <c r="AE9" s="1">
        <v>2.0480255395278783E-3</v>
      </c>
      <c r="AF9" s="1">
        <v>-8.692223127313263E-3</v>
      </c>
      <c r="AG9" s="1">
        <v>2.2473052532698459E-2</v>
      </c>
      <c r="AH9" s="1">
        <v>4.073968212118563E-2</v>
      </c>
      <c r="AI9" s="1">
        <v>-2.215250687251229E-2</v>
      </c>
      <c r="AJ9" s="1">
        <v>7.6731756640541562E-2</v>
      </c>
      <c r="AK9" s="1">
        <v>2.9337621573185563E-2</v>
      </c>
      <c r="AL9" s="1">
        <v>2.3727783000568825E-2</v>
      </c>
      <c r="AM9" s="1">
        <v>1.0845062557112213E-2</v>
      </c>
      <c r="AN9" s="1">
        <v>-9.5172904209660791E-3</v>
      </c>
      <c r="AO9" s="1">
        <v>-7.3424176815058079E-3</v>
      </c>
      <c r="AP9" s="1">
        <v>3.4968304615043411E-2</v>
      </c>
      <c r="AQ9" s="1">
        <v>-1.3073854922737342E-3</v>
      </c>
      <c r="AR9" s="1">
        <v>-5.4186392066976334E-2</v>
      </c>
      <c r="AS9" s="1">
        <v>6.2577961431297931E-3</v>
      </c>
      <c r="AT9" s="1">
        <v>3.0426589869888367E-2</v>
      </c>
      <c r="AU9" s="1">
        <v>1.5213917674130955E-2</v>
      </c>
      <c r="AV9" s="1">
        <v>1.6095088292534705E-2</v>
      </c>
      <c r="AW9" s="1">
        <v>2.7123449483406097E-2</v>
      </c>
      <c r="AX9" s="1">
        <v>3.1745369862584943E-2</v>
      </c>
      <c r="AY9" s="1">
        <v>-1.6231958877504166E-3</v>
      </c>
      <c r="AZ9" s="1">
        <v>2.480453283190507E-2</v>
      </c>
      <c r="BA9" s="1">
        <v>-9.5957864792019475E-3</v>
      </c>
      <c r="BB9" s="1">
        <v>-1.3236402530634465E-2</v>
      </c>
      <c r="BC9" s="1">
        <v>1.304831513326464E-2</v>
      </c>
      <c r="BD9" s="1">
        <v>-2.278558834268447E-2</v>
      </c>
      <c r="BE9" s="1">
        <v>4.0260139318455394E-2</v>
      </c>
      <c r="BF9" s="1">
        <v>4.8314299087268441E-2</v>
      </c>
      <c r="BG9" s="1">
        <v>3.2796946832195001E-2</v>
      </c>
      <c r="BH9" s="1">
        <v>-9.1743680876509894E-3</v>
      </c>
      <c r="BI9" s="1">
        <v>2.3371843729816941E-3</v>
      </c>
      <c r="BJ9" s="1">
        <v>4.1684146825112796E-2</v>
      </c>
      <c r="BK9" s="1">
        <v>1.3228424750912529E-2</v>
      </c>
      <c r="BL9" s="1">
        <v>3.1702901168494668E-2</v>
      </c>
      <c r="BM9" s="1">
        <v>-2.3293492391294791E-2</v>
      </c>
      <c r="BN9" s="1">
        <v>4.3183485838294906E-2</v>
      </c>
      <c r="BO9" s="1">
        <v>6.1974092644989072E-3</v>
      </c>
      <c r="BP9" s="1">
        <v>4.060147373593135E-2</v>
      </c>
      <c r="BQ9" s="1">
        <v>3.9445901770161003E-2</v>
      </c>
      <c r="BR9" s="1">
        <v>2.8935304486109918E-2</v>
      </c>
      <c r="BS9" s="1">
        <v>-2.2060582154744122E-2</v>
      </c>
      <c r="BT9" s="1">
        <v>1.8377067333813734E-2</v>
      </c>
      <c r="BU9" s="1">
        <v>2.2014934701886028E-2</v>
      </c>
      <c r="BV9" s="1">
        <v>-3.5279132574152085E-2</v>
      </c>
      <c r="BW9" s="1">
        <v>-2.3491364678686982E-2</v>
      </c>
      <c r="BX9" s="1">
        <v>1.1623834229319729E-2</v>
      </c>
      <c r="BY9" s="1">
        <v>-5.5094230262859693E-2</v>
      </c>
      <c r="BZ9" s="1">
        <v>2.4307477508207116E-2</v>
      </c>
      <c r="CA9" s="1">
        <v>3.1467871302543339E-2</v>
      </c>
      <c r="CB9" s="1">
        <v>4.4328585793222833E-3</v>
      </c>
      <c r="CC9" s="1">
        <v>-5.2633126817594007E-3</v>
      </c>
      <c r="CD9" s="1">
        <v>-3.6546249867658261E-2</v>
      </c>
      <c r="CE9" s="1">
        <v>1.8405051163438647E-2</v>
      </c>
      <c r="CF9" s="1">
        <v>3.295455904974029E-2</v>
      </c>
      <c r="CG9" s="1">
        <v>5.3719892250586494E-3</v>
      </c>
      <c r="CH9" s="1">
        <v>4.0580045567399019E-2</v>
      </c>
      <c r="CI9" s="1">
        <v>-1.3141488038093126E-2</v>
      </c>
      <c r="CJ9" s="1">
        <v>-3.1294243761538158E-2</v>
      </c>
      <c r="CK9" s="1">
        <v>9.1859882164539598E-3</v>
      </c>
      <c r="CL9" s="1">
        <v>2.0687308590948725E-2</v>
      </c>
      <c r="CM9" s="1">
        <v>-1.6289010673760273E-2</v>
      </c>
      <c r="CN9" s="1">
        <v>-1.9239587944657053E-2</v>
      </c>
      <c r="CO9" s="1">
        <v>8.9587357180448031E-3</v>
      </c>
      <c r="CP9" s="1">
        <v>1.8284251197394644E-2</v>
      </c>
      <c r="CQ9" s="1">
        <v>2.6877088006359894E-3</v>
      </c>
      <c r="CR9" s="1">
        <v>-3.9986022958801029E-3</v>
      </c>
      <c r="CS9" s="1">
        <v>-2.535333138530069E-2</v>
      </c>
      <c r="CT9" s="1">
        <v>3.9439987217697134E-2</v>
      </c>
      <c r="CU9" s="1">
        <v>6.0102790352508186E-2</v>
      </c>
      <c r="CV9" s="164"/>
    </row>
    <row r="10" spans="1:100" ht="15" thickBot="1" x14ac:dyDescent="0.4">
      <c r="A10" s="23">
        <v>45627</v>
      </c>
      <c r="B10" s="1">
        <v>3.2124342188445495E-2</v>
      </c>
      <c r="C10" s="1">
        <v>2.5635592503959945E-2</v>
      </c>
      <c r="D10" s="1">
        <v>2.9281501454041453E-3</v>
      </c>
      <c r="E10" s="1">
        <v>8.7084120666551298E-3</v>
      </c>
      <c r="F10" s="1">
        <v>1.1429648782972653E-2</v>
      </c>
      <c r="G10" s="1">
        <v>-4.405224377762814E-2</v>
      </c>
      <c r="H10" s="1">
        <v>1.6038293277859692E-2</v>
      </c>
      <c r="I10" s="1">
        <v>1.3665298893459802E-2</v>
      </c>
      <c r="J10" s="1">
        <v>1.7047454344710691E-2</v>
      </c>
      <c r="K10" s="1">
        <v>1.8934656409789953E-2</v>
      </c>
      <c r="L10" s="1">
        <v>3.9463630000241029E-2</v>
      </c>
      <c r="M10" s="1">
        <v>2.3394706486842835E-2</v>
      </c>
      <c r="N10" s="1">
        <v>4.5903597512935025E-2</v>
      </c>
      <c r="O10" s="1">
        <v>2.3570398167814734E-2</v>
      </c>
      <c r="P10" s="1">
        <v>-1.1606510343267623E-2</v>
      </c>
      <c r="Q10" s="1">
        <v>5.4160828266241676E-4</v>
      </c>
      <c r="R10" s="1">
        <v>-2.8553662244138463E-2</v>
      </c>
      <c r="S10" s="1">
        <v>-4.1717569079876053E-2</v>
      </c>
      <c r="T10" s="1">
        <v>-4.1225276099603858E-2</v>
      </c>
      <c r="U10" s="1">
        <v>3.5321654522144148E-2</v>
      </c>
      <c r="V10" s="1">
        <v>4.0956877762731832E-2</v>
      </c>
      <c r="W10" s="1">
        <v>-1.0382907457457515E-3</v>
      </c>
      <c r="X10" s="1">
        <v>-1.3720942426725731E-2</v>
      </c>
      <c r="Y10" s="1">
        <v>-4.6373531589197292E-3</v>
      </c>
      <c r="Z10" s="1">
        <v>3.1097296569851603E-2</v>
      </c>
      <c r="AA10" s="1">
        <v>-8.7216484743209838E-3</v>
      </c>
      <c r="AB10" s="1">
        <v>7.3185788926428009E-3</v>
      </c>
      <c r="AC10" s="1">
        <v>8.2616120102542209E-3</v>
      </c>
      <c r="AD10" s="1">
        <v>1.4375561455960802E-2</v>
      </c>
      <c r="AE10" s="1">
        <v>1.7817624611434206E-2</v>
      </c>
      <c r="AF10" s="1">
        <v>-4.2273080535549061E-2</v>
      </c>
      <c r="AG10" s="1">
        <v>-8.4078462741209344E-3</v>
      </c>
      <c r="AH10" s="1">
        <v>1.0409017354202427E-2</v>
      </c>
      <c r="AI10" s="1">
        <v>2.1965636971302986E-2</v>
      </c>
      <c r="AJ10" s="1">
        <v>4.0291526159915358E-3</v>
      </c>
      <c r="AK10" s="1">
        <v>5.3623039143398263E-2</v>
      </c>
      <c r="AL10" s="1">
        <v>1.333533918404773E-2</v>
      </c>
      <c r="AM10" s="1">
        <v>4.6626377031786931E-2</v>
      </c>
      <c r="AN10" s="1">
        <v>2.7241716524659735E-2</v>
      </c>
      <c r="AO10" s="1">
        <v>1.5630896118142168E-2</v>
      </c>
      <c r="AP10" s="1">
        <v>5.1405588889976341E-3</v>
      </c>
      <c r="AQ10" s="1">
        <v>-1.4230319794010887E-2</v>
      </c>
      <c r="AR10" s="1">
        <v>-6.6187943933396021E-3</v>
      </c>
      <c r="AS10" s="1">
        <v>4.5196023590897541E-2</v>
      </c>
      <c r="AT10" s="1">
        <v>1.9644341782597764E-2</v>
      </c>
      <c r="AU10" s="1">
        <v>-1.3745771231002202E-3</v>
      </c>
      <c r="AV10" s="1">
        <v>-2.2015907363572521E-2</v>
      </c>
      <c r="AW10" s="1">
        <v>1.2825675792320131E-2</v>
      </c>
      <c r="AX10" s="1">
        <v>1.7411457556950619E-2</v>
      </c>
      <c r="AY10" s="1">
        <v>-6.9889825395126554E-3</v>
      </c>
      <c r="AZ10" s="1">
        <v>1.7309095627377001E-2</v>
      </c>
      <c r="BA10" s="1">
        <v>2.5839019922992288E-2</v>
      </c>
      <c r="BB10" s="1">
        <v>1.30293184509266E-2</v>
      </c>
      <c r="BC10" s="1">
        <v>2.1937280355794071E-2</v>
      </c>
      <c r="BD10" s="1">
        <v>6.1809569631171506E-2</v>
      </c>
      <c r="BE10" s="1">
        <v>3.3859164636483773E-2</v>
      </c>
      <c r="BF10" s="1">
        <v>2.6978618553257325E-2</v>
      </c>
      <c r="BG10" s="1">
        <v>-1.911770356570348E-2</v>
      </c>
      <c r="BH10" s="1">
        <v>-6.0298439246297469E-3</v>
      </c>
      <c r="BI10" s="1">
        <v>1.0006868575727936E-2</v>
      </c>
      <c r="BJ10" s="1">
        <v>-1.4909800048045315E-2</v>
      </c>
      <c r="BK10" s="1">
        <v>-1.5344231892420152E-2</v>
      </c>
      <c r="BL10" s="1">
        <v>-3.0197246367465975E-2</v>
      </c>
      <c r="BM10" s="1">
        <v>-3.6612461314297629E-2</v>
      </c>
      <c r="BN10" s="1">
        <v>1.7840603329855698E-2</v>
      </c>
      <c r="BO10" s="1">
        <v>1.9580897866860132E-2</v>
      </c>
      <c r="BP10" s="1">
        <v>-1.2289752998407018E-2</v>
      </c>
      <c r="BQ10" s="1">
        <v>1.3953344102147394E-2</v>
      </c>
      <c r="BR10" s="1">
        <v>-4.4539601364208337E-3</v>
      </c>
      <c r="BS10" s="1">
        <v>2.0638426408503167E-2</v>
      </c>
      <c r="BT10" s="1">
        <v>6.1403671887638326E-3</v>
      </c>
      <c r="BU10" s="1">
        <v>-9.7429686097285258E-3</v>
      </c>
      <c r="BV10" s="1">
        <v>8.4363580779214676E-3</v>
      </c>
      <c r="BW10" s="1">
        <v>-5.4967554251609922E-2</v>
      </c>
      <c r="BX10" s="1">
        <v>-2.5875371464659142E-2</v>
      </c>
      <c r="BY10" s="1">
        <v>1.9814051486702546E-2</v>
      </c>
      <c r="BZ10" s="1">
        <v>-6.2207780784835969E-3</v>
      </c>
      <c r="CA10" s="1">
        <v>-2.6267551504953423E-2</v>
      </c>
      <c r="CB10" s="1">
        <v>3.9115359752709924E-2</v>
      </c>
      <c r="CC10" s="1">
        <v>4.4550905879055282E-2</v>
      </c>
      <c r="CD10" s="1">
        <v>6.0784106618114444E-3</v>
      </c>
      <c r="CE10" s="1">
        <v>-2.0805382014595447E-2</v>
      </c>
      <c r="CF10" s="1">
        <v>1.650494345175595E-2</v>
      </c>
      <c r="CG10" s="1">
        <v>3.2418263013056982E-2</v>
      </c>
      <c r="CH10" s="1">
        <v>7.2702449333505005E-3</v>
      </c>
      <c r="CI10" s="1">
        <v>1.0376249803802952E-4</v>
      </c>
      <c r="CJ10" s="1">
        <v>5.6366958840515487E-3</v>
      </c>
      <c r="CK10" s="1">
        <v>-1.1338985971824839E-2</v>
      </c>
      <c r="CL10" s="1">
        <v>2.593560529845497E-2</v>
      </c>
      <c r="CM10" s="1">
        <v>3.315301608310936E-2</v>
      </c>
      <c r="CN10" s="1">
        <v>2.6850481317682119E-2</v>
      </c>
      <c r="CO10" s="1">
        <v>2.6689745270125423E-2</v>
      </c>
      <c r="CP10" s="1">
        <v>9.6547044751669701E-3</v>
      </c>
      <c r="CQ10" s="1">
        <v>3.3536335381563781E-2</v>
      </c>
      <c r="CR10" s="1">
        <v>5.4913193840928222E-2</v>
      </c>
      <c r="CS10" s="1">
        <v>-1.0728330821173474E-2</v>
      </c>
      <c r="CT10" s="1">
        <v>-1.3916680324703331E-2</v>
      </c>
      <c r="CU10" s="1">
        <v>1.0240224841259247E-2</v>
      </c>
      <c r="CV10" s="164"/>
    </row>
    <row r="11" spans="1:100" ht="15" thickBot="1" x14ac:dyDescent="0.4">
      <c r="A11" s="23">
        <v>45658</v>
      </c>
      <c r="B11" s="1">
        <v>-3.66068329202245E-2</v>
      </c>
      <c r="C11" s="1">
        <v>-2.4320825641570436E-2</v>
      </c>
      <c r="D11" s="1">
        <v>4.3198501565954249E-2</v>
      </c>
      <c r="E11" s="1">
        <v>4.7484394226663985E-3</v>
      </c>
      <c r="F11" s="1">
        <v>-5.8018867806633638E-3</v>
      </c>
      <c r="G11" s="1">
        <v>1.6427840891444456E-2</v>
      </c>
      <c r="H11" s="1">
        <v>9.5651499029869615E-3</v>
      </c>
      <c r="I11" s="1">
        <v>3.5717247123464285E-3</v>
      </c>
      <c r="J11" s="1">
        <v>-2.9585301698328185E-2</v>
      </c>
      <c r="K11" s="1">
        <v>2.9612462979238786E-2</v>
      </c>
      <c r="L11" s="1">
        <v>5.2137198255393907E-3</v>
      </c>
      <c r="M11" s="1">
        <v>-1.5200322972412344E-2</v>
      </c>
      <c r="N11" s="1">
        <v>4.830805860520139E-2</v>
      </c>
      <c r="O11" s="1">
        <v>3.3242114082868493E-4</v>
      </c>
      <c r="P11" s="1">
        <v>-4.6767098739034091E-2</v>
      </c>
      <c r="Q11" s="1">
        <v>-2.1332753667429975E-2</v>
      </c>
      <c r="R11" s="1">
        <v>-1.8356443660210069E-3</v>
      </c>
      <c r="S11" s="1">
        <v>-1.4167433540691877E-2</v>
      </c>
      <c r="T11" s="1">
        <v>-3.392081883620323E-2</v>
      </c>
      <c r="U11" s="1">
        <v>1.8127826831887753E-4</v>
      </c>
      <c r="V11" s="1">
        <v>5.2682403765771995E-3</v>
      </c>
      <c r="W11" s="1">
        <v>3.7554558292054881E-3</v>
      </c>
      <c r="X11" s="1">
        <v>1.7245532416088907E-2</v>
      </c>
      <c r="Y11" s="1">
        <v>3.8990614662732515E-2</v>
      </c>
      <c r="Z11" s="1">
        <v>-7.3631804956175656E-3</v>
      </c>
      <c r="AA11" s="1">
        <v>9.2858750140793235E-3</v>
      </c>
      <c r="AB11" s="1">
        <v>8.322574618944369E-3</v>
      </c>
      <c r="AC11" s="1">
        <v>-1.0999480470360944E-2</v>
      </c>
      <c r="AD11" s="1">
        <v>-1.5596709896596617E-2</v>
      </c>
      <c r="AE11" s="1">
        <v>-3.7172178036900032E-2</v>
      </c>
      <c r="AF11" s="1">
        <v>-2.7603082514230593E-2</v>
      </c>
      <c r="AG11" s="1">
        <v>6.6216438445820772E-2</v>
      </c>
      <c r="AH11" s="1">
        <v>-6.0086972791748927E-3</v>
      </c>
      <c r="AI11" s="1">
        <v>2.6178139458275925E-3</v>
      </c>
      <c r="AJ11" s="1">
        <v>2.4702112525454054E-2</v>
      </c>
      <c r="AK11" s="1">
        <v>-4.0820882675599969E-3</v>
      </c>
      <c r="AL11" s="1">
        <v>2.4078282047207276E-2</v>
      </c>
      <c r="AM11" s="1">
        <v>-1.211185442382659E-2</v>
      </c>
      <c r="AN11" s="1">
        <v>1.1739752651541476E-2</v>
      </c>
      <c r="AO11" s="1">
        <v>8.9724032828044937E-3</v>
      </c>
      <c r="AP11" s="1">
        <v>3.0972401993735878E-2</v>
      </c>
      <c r="AQ11" s="1">
        <v>3.6005225879927806E-2</v>
      </c>
      <c r="AR11" s="1">
        <v>-2.0727227735663153E-2</v>
      </c>
      <c r="AS11" s="1">
        <v>-1.1865937005187011E-2</v>
      </c>
      <c r="AT11" s="1">
        <v>1.9170263379853763E-2</v>
      </c>
      <c r="AU11" s="1">
        <v>-3.4434967135782805E-2</v>
      </c>
      <c r="AV11" s="1">
        <v>1.3284808530349053E-2</v>
      </c>
      <c r="AW11" s="1">
        <v>3.0258467568951293E-2</v>
      </c>
      <c r="AX11" s="1">
        <v>2.237580645177932E-2</v>
      </c>
      <c r="AY11" s="1">
        <v>8.7198205398893586E-3</v>
      </c>
      <c r="AZ11" s="1">
        <v>2.034572402117866E-3</v>
      </c>
      <c r="BA11" s="1">
        <v>2.2096492717247476E-2</v>
      </c>
      <c r="BB11" s="1">
        <v>3.339584800621069E-3</v>
      </c>
      <c r="BC11" s="1">
        <v>4.0394708732771595E-2</v>
      </c>
      <c r="BD11" s="1">
        <v>-2.3206635084407927E-3</v>
      </c>
      <c r="BE11" s="1">
        <v>1.3885181292263332E-2</v>
      </c>
      <c r="BF11" s="1">
        <v>-1.550463570144827E-2</v>
      </c>
      <c r="BG11" s="1">
        <v>5.2922694370290596E-2</v>
      </c>
      <c r="BH11" s="1">
        <v>-1.9963539325435268E-2</v>
      </c>
      <c r="BI11" s="1">
        <v>5.0305136488999251E-2</v>
      </c>
      <c r="BJ11" s="1">
        <v>-5.8657801989118234E-2</v>
      </c>
      <c r="BK11" s="1">
        <v>2.9068123951848133E-2</v>
      </c>
      <c r="BL11" s="1">
        <v>4.1545922645470669E-3</v>
      </c>
      <c r="BM11" s="1">
        <v>3.9325143648993081E-2</v>
      </c>
      <c r="BN11" s="1">
        <v>2.3158767015902252E-2</v>
      </c>
      <c r="BO11" s="1">
        <v>-6.3772974177630408E-3</v>
      </c>
      <c r="BP11" s="1">
        <v>-1.5317691628382316E-2</v>
      </c>
      <c r="BQ11" s="1">
        <v>3.3050738539183659E-2</v>
      </c>
      <c r="BR11" s="1">
        <v>-1.6890771727273166E-3</v>
      </c>
      <c r="BS11" s="1">
        <v>-2.291480885608407E-2</v>
      </c>
      <c r="BT11" s="1">
        <v>-5.0604991570365751E-3</v>
      </c>
      <c r="BU11" s="1">
        <v>-2.7747360262762196E-2</v>
      </c>
      <c r="BV11" s="1">
        <v>7.4418034742790885E-3</v>
      </c>
      <c r="BW11" s="1">
        <v>6.4758168639445527E-3</v>
      </c>
      <c r="BX11" s="1">
        <v>5.2526495615155475E-6</v>
      </c>
      <c r="BY11" s="1">
        <v>-4.6119614405591364E-3</v>
      </c>
      <c r="BZ11" s="1">
        <v>-1.8078547430465889E-2</v>
      </c>
      <c r="CA11" s="1">
        <v>-6.0795594340584671E-3</v>
      </c>
      <c r="CB11" s="1">
        <v>8.7515277459326423E-3</v>
      </c>
      <c r="CC11" s="1">
        <v>3.6750172128992772E-2</v>
      </c>
      <c r="CD11" s="1">
        <v>-4.0523402385546782E-2</v>
      </c>
      <c r="CE11" s="1">
        <v>1.3886538723592259E-2</v>
      </c>
      <c r="CF11" s="1">
        <v>1.768996157760986E-2</v>
      </c>
      <c r="CG11" s="1">
        <v>2.7390195718338369E-3</v>
      </c>
      <c r="CH11" s="1">
        <v>3.477228977437527E-2</v>
      </c>
      <c r="CI11" s="1">
        <v>-3.8457434120099963E-2</v>
      </c>
      <c r="CJ11" s="1">
        <v>1.2083766828048802E-2</v>
      </c>
      <c r="CK11" s="1">
        <v>4.1926723677210759E-2</v>
      </c>
      <c r="CL11" s="1">
        <v>1.043947026307683E-2</v>
      </c>
      <c r="CM11" s="1">
        <v>-4.742580342208663E-3</v>
      </c>
      <c r="CN11" s="1">
        <v>-3.3871833511741681E-2</v>
      </c>
      <c r="CO11" s="1">
        <v>-5.2927566477079966E-3</v>
      </c>
      <c r="CP11" s="1">
        <v>2.1347897826813601E-2</v>
      </c>
      <c r="CQ11" s="1">
        <v>3.7355695486933245E-2</v>
      </c>
      <c r="CR11" s="1">
        <v>-1.0497910280664075E-2</v>
      </c>
      <c r="CS11" s="1">
        <v>-2.1907296255730069E-2</v>
      </c>
      <c r="CT11" s="1">
        <v>-1.8743279547651905E-2</v>
      </c>
      <c r="CU11" s="1">
        <v>1.0366721546767984E-2</v>
      </c>
      <c r="CV11" s="164"/>
    </row>
    <row r="12" spans="1:100" ht="15" thickBot="1" x14ac:dyDescent="0.4">
      <c r="A12" s="23">
        <v>45689</v>
      </c>
      <c r="B12" s="1">
        <v>-3.8334324342208292E-2</v>
      </c>
      <c r="C12" s="1">
        <v>4.1431230258798621E-2</v>
      </c>
      <c r="D12" s="1">
        <v>-3.4521395320074441E-3</v>
      </c>
      <c r="E12" s="1">
        <v>1.5211183574070504E-2</v>
      </c>
      <c r="F12" s="1">
        <v>-6.220223654972868E-2</v>
      </c>
      <c r="G12" s="1">
        <v>9.0779696516801924E-3</v>
      </c>
      <c r="H12" s="1">
        <v>-4.0738452852409124E-2</v>
      </c>
      <c r="I12" s="1">
        <v>-2.5013417753892717E-3</v>
      </c>
      <c r="J12" s="1">
        <v>8.7474547400985172E-3</v>
      </c>
      <c r="K12" s="1">
        <v>8.9661194645843465E-3</v>
      </c>
      <c r="L12" s="1">
        <v>1.4495809663502227E-2</v>
      </c>
      <c r="M12" s="1">
        <v>-1.0523261001313705E-2</v>
      </c>
      <c r="N12" s="1">
        <v>8.1747086156593735E-3</v>
      </c>
      <c r="O12" s="1">
        <v>-4.0235399991740292E-2</v>
      </c>
      <c r="P12" s="1">
        <v>2.5252776223951268E-2</v>
      </c>
      <c r="Q12" s="1">
        <v>2.1069211345350225E-2</v>
      </c>
      <c r="R12" s="1">
        <v>5.5896409125402037E-2</v>
      </c>
      <c r="S12" s="1">
        <v>1.4934549323807238E-3</v>
      </c>
      <c r="T12" s="1">
        <v>-1.0494095194610868E-2</v>
      </c>
      <c r="U12" s="1">
        <v>-2.6080492290476247E-2</v>
      </c>
      <c r="V12" s="1">
        <v>4.3144641988164334E-3</v>
      </c>
      <c r="W12" s="1">
        <v>-1.1570694781338733E-2</v>
      </c>
      <c r="X12" s="1">
        <v>2.0013795093527745E-3</v>
      </c>
      <c r="Y12" s="1">
        <v>-1.988521275741497E-2</v>
      </c>
      <c r="Z12" s="1">
        <v>4.4096992234141041E-2</v>
      </c>
      <c r="AA12" s="1">
        <v>6.7149401726222191E-2</v>
      </c>
      <c r="AB12" s="1">
        <v>1.0208300358071897E-2</v>
      </c>
      <c r="AC12" s="1">
        <v>2.6835607252959377E-2</v>
      </c>
      <c r="AD12" s="1">
        <v>1.3119890733026808E-2</v>
      </c>
      <c r="AE12" s="1">
        <v>1.4806153962239853E-2</v>
      </c>
      <c r="AF12" s="1">
        <v>3.0663242111620623E-2</v>
      </c>
      <c r="AG12" s="1">
        <v>-1.4246308678567958E-2</v>
      </c>
      <c r="AH12" s="1">
        <v>3.3956728785606146E-3</v>
      </c>
      <c r="AI12" s="1">
        <v>5.0032359495502873E-3</v>
      </c>
      <c r="AJ12" s="1">
        <v>-1.0331017116292592E-2</v>
      </c>
      <c r="AK12" s="1">
        <v>8.3360977535879635E-3</v>
      </c>
      <c r="AL12" s="1">
        <v>8.6652237658493402E-3</v>
      </c>
      <c r="AM12" s="1">
        <v>3.3969098222819023E-2</v>
      </c>
      <c r="AN12" s="1">
        <v>2.2222828764114921E-2</v>
      </c>
      <c r="AO12" s="1">
        <v>-4.4529776882067601E-3</v>
      </c>
      <c r="AP12" s="1">
        <v>2.5866908470296686E-3</v>
      </c>
      <c r="AQ12" s="1">
        <v>6.001332633820875E-3</v>
      </c>
      <c r="AR12" s="1">
        <v>4.0903356563975327E-2</v>
      </c>
      <c r="AS12" s="1">
        <v>-5.8825224174798747E-2</v>
      </c>
      <c r="AT12" s="1">
        <v>9.3747882269691798E-3</v>
      </c>
      <c r="AU12" s="1">
        <v>3.3919960114200919E-2</v>
      </c>
      <c r="AV12" s="1">
        <v>8.1753747790186751E-3</v>
      </c>
      <c r="AW12" s="1">
        <v>-5.9968245812594178E-3</v>
      </c>
      <c r="AX12" s="1">
        <v>-3.6620762323508894E-2</v>
      </c>
      <c r="AY12" s="1">
        <v>2.6937826063639436E-2</v>
      </c>
      <c r="AZ12" s="1">
        <v>-2.4212903094125517E-2</v>
      </c>
      <c r="BA12" s="1">
        <v>-1.5426507348634683E-2</v>
      </c>
      <c r="BB12" s="1">
        <v>-6.1893512052874432E-2</v>
      </c>
      <c r="BC12" s="1">
        <v>3.2715540889612184E-2</v>
      </c>
      <c r="BD12" s="1">
        <v>9.4042695398662193E-3</v>
      </c>
      <c r="BE12" s="1">
        <v>9.2040460307119577E-3</v>
      </c>
      <c r="BF12" s="1">
        <v>-8.5341004798976904E-3</v>
      </c>
      <c r="BG12" s="1">
        <v>-2.9110282935769841E-2</v>
      </c>
      <c r="BH12" s="1">
        <v>3.8775289164893201E-2</v>
      </c>
      <c r="BI12" s="1">
        <v>4.4530730994956691E-2</v>
      </c>
      <c r="BJ12" s="1">
        <v>1.8921152590985937E-2</v>
      </c>
      <c r="BK12" s="1">
        <v>1.8006172408034871E-2</v>
      </c>
      <c r="BL12" s="1">
        <v>9.0142600069982454E-3</v>
      </c>
      <c r="BM12" s="1">
        <v>3.8404174358059075E-2</v>
      </c>
      <c r="BN12" s="1">
        <v>8.2926231048392005E-3</v>
      </c>
      <c r="BO12" s="1">
        <v>-3.5833867604944452E-3</v>
      </c>
      <c r="BP12" s="1">
        <v>2.5124685046570661E-2</v>
      </c>
      <c r="BQ12" s="1">
        <v>4.5596251736462673E-2</v>
      </c>
      <c r="BR12" s="1">
        <v>-4.0118295512649969E-2</v>
      </c>
      <c r="BS12" s="1">
        <v>-4.8502232103404186E-3</v>
      </c>
      <c r="BT12" s="1">
        <v>-5.1802668274745813E-2</v>
      </c>
      <c r="BU12" s="1">
        <v>2.4512022221369417E-2</v>
      </c>
      <c r="BV12" s="1">
        <v>5.3669325867634898E-3</v>
      </c>
      <c r="BW12" s="1">
        <v>-6.4970728050001191E-3</v>
      </c>
      <c r="BX12" s="1">
        <v>-5.815148852999657E-3</v>
      </c>
      <c r="BY12" s="1">
        <v>7.7450078779618542E-2</v>
      </c>
      <c r="BZ12" s="1">
        <v>3.7738813157320659E-2</v>
      </c>
      <c r="CA12" s="1">
        <v>4.9203863279411453E-3</v>
      </c>
      <c r="CB12" s="1">
        <v>-1.3176291646180897E-2</v>
      </c>
      <c r="CC12" s="1">
        <v>3.2360971461256917E-2</v>
      </c>
      <c r="CD12" s="1">
        <v>2.5236195685450043E-2</v>
      </c>
      <c r="CE12" s="1">
        <v>2.5367967973216166E-2</v>
      </c>
      <c r="CF12" s="1">
        <v>1.6479139723099404E-2</v>
      </c>
      <c r="CG12" s="1">
        <v>-3.2838900798187409E-2</v>
      </c>
      <c r="CH12" s="1">
        <v>-3.4570121644050315E-2</v>
      </c>
      <c r="CI12" s="1">
        <v>1.3125020214636095E-2</v>
      </c>
      <c r="CJ12" s="1">
        <v>-1.471052103918111E-2</v>
      </c>
      <c r="CK12" s="1">
        <v>3.1583097233759981E-2</v>
      </c>
      <c r="CL12" s="1">
        <v>1.3421458099244846E-3</v>
      </c>
      <c r="CM12" s="1">
        <v>-4.0449191364331706E-2</v>
      </c>
      <c r="CN12" s="1">
        <v>2.6967264750661461E-2</v>
      </c>
      <c r="CO12" s="1">
        <v>-4.8246504627827154E-2</v>
      </c>
      <c r="CP12" s="1">
        <v>2.7674527790590715E-2</v>
      </c>
      <c r="CQ12" s="1">
        <v>4.4968366473528594E-3</v>
      </c>
      <c r="CR12" s="1">
        <v>-5.3713366491166771E-3</v>
      </c>
      <c r="CS12" s="1">
        <v>4.7156263835511095E-2</v>
      </c>
      <c r="CT12" s="1">
        <v>-3.5712889277467581E-2</v>
      </c>
      <c r="CU12" s="1">
        <v>1.9229761730055446E-3</v>
      </c>
      <c r="CV12" s="164"/>
    </row>
    <row r="13" spans="1:100" ht="15" thickBot="1" x14ac:dyDescent="0.4">
      <c r="A13" s="27">
        <v>45717</v>
      </c>
      <c r="B13" s="1">
        <v>1.8233908335143385E-3</v>
      </c>
      <c r="C13" s="1">
        <v>4.4750579759554793E-2</v>
      </c>
      <c r="D13" s="1">
        <v>1.3009940066773017E-2</v>
      </c>
      <c r="E13" s="1">
        <v>-1.5915937969906653E-2</v>
      </c>
      <c r="F13" s="1">
        <v>-4.2806109984698401E-2</v>
      </c>
      <c r="G13" s="1">
        <v>4.3160265603451979E-2</v>
      </c>
      <c r="H13" s="1">
        <v>2.4228586722139234E-2</v>
      </c>
      <c r="I13" s="1">
        <v>-6.9237895963908261E-3</v>
      </c>
      <c r="J13" s="1">
        <v>-3.9321324787261148E-3</v>
      </c>
      <c r="K13" s="1">
        <v>-1.3989743815353691E-3</v>
      </c>
      <c r="L13" s="1">
        <v>3.408959363162988E-3</v>
      </c>
      <c r="M13" s="1">
        <v>5.8362770525786305E-2</v>
      </c>
      <c r="N13" s="1">
        <v>-7.5434683602610365E-3</v>
      </c>
      <c r="O13" s="1">
        <v>2.3002429111025093E-2</v>
      </c>
      <c r="P13" s="1">
        <v>2.0672233448669617E-2</v>
      </c>
      <c r="Q13" s="1">
        <v>-1.6006571153519021E-2</v>
      </c>
      <c r="R13" s="1">
        <v>3.7431505353599105E-2</v>
      </c>
      <c r="S13" s="1">
        <v>-3.9441017018314942E-2</v>
      </c>
      <c r="T13" s="1">
        <v>1.5338252599125093E-2</v>
      </c>
      <c r="U13" s="1">
        <v>2.4227020426871328E-2</v>
      </c>
      <c r="V13" s="1">
        <v>5.5713856204049894E-2</v>
      </c>
      <c r="W13" s="1">
        <v>-8.3579559988977148E-3</v>
      </c>
      <c r="X13" s="1">
        <v>2.170807751317191E-3</v>
      </c>
      <c r="Y13" s="1">
        <v>-1.0871232044478291E-2</v>
      </c>
      <c r="Z13" s="1">
        <v>2.9577298371633195E-2</v>
      </c>
      <c r="AA13" s="1">
        <v>2.3712832954594597E-2</v>
      </c>
      <c r="AB13" s="1">
        <v>-1.3937698764570107E-2</v>
      </c>
      <c r="AC13" s="1">
        <v>-1.1150222127057078E-2</v>
      </c>
      <c r="AD13" s="1">
        <v>-7.2235900673703864E-3</v>
      </c>
      <c r="AE13" s="1">
        <v>3.0411145250863639E-2</v>
      </c>
      <c r="AF13" s="1">
        <v>5.1791294436044216E-2</v>
      </c>
      <c r="AG13" s="1">
        <v>1.241202123542284E-2</v>
      </c>
      <c r="AH13" s="1">
        <v>8.9207071224733994E-3</v>
      </c>
      <c r="AI13" s="1">
        <v>1.2623849214520883E-3</v>
      </c>
      <c r="AJ13" s="1">
        <v>1.510894466403531E-2</v>
      </c>
      <c r="AK13" s="1">
        <v>3.313214149401017E-2</v>
      </c>
      <c r="AL13" s="1">
        <v>3.1933570204458084E-2</v>
      </c>
      <c r="AM13" s="1">
        <v>2.4816754684695741E-2</v>
      </c>
      <c r="AN13" s="1">
        <v>4.2416532565930483E-2</v>
      </c>
      <c r="AO13" s="1">
        <v>2.6997684606705184E-2</v>
      </c>
      <c r="AP13" s="1">
        <v>2.6021511754337371E-2</v>
      </c>
      <c r="AQ13" s="1">
        <v>2.7500975839987219E-2</v>
      </c>
      <c r="AR13" s="1">
        <v>3.0650551991219091E-2</v>
      </c>
      <c r="AS13" s="1">
        <v>1.8815757492560786E-2</v>
      </c>
      <c r="AT13" s="1">
        <v>-2.2790111435055108E-2</v>
      </c>
      <c r="AU13" s="1">
        <v>5.3522489395927672E-2</v>
      </c>
      <c r="AV13" s="1">
        <v>3.1752092362494322E-2</v>
      </c>
      <c r="AW13" s="1">
        <v>-3.5233807562753815E-2</v>
      </c>
      <c r="AX13" s="1">
        <v>-1.5374315675864584E-3</v>
      </c>
      <c r="AY13" s="1">
        <v>-1.9861591889938208E-2</v>
      </c>
      <c r="AZ13" s="1">
        <v>3.752012279023588E-2</v>
      </c>
      <c r="BA13" s="1">
        <v>1.7309968650604406E-2</v>
      </c>
      <c r="BB13" s="1">
        <v>-8.2675507245222844E-3</v>
      </c>
      <c r="BC13" s="1">
        <v>2.6681999004504464E-2</v>
      </c>
      <c r="BD13" s="1">
        <v>6.0646467730029088E-2</v>
      </c>
      <c r="BE13" s="1">
        <v>6.3562189972470179E-3</v>
      </c>
      <c r="BF13" s="1">
        <v>2.092165553922499E-3</v>
      </c>
      <c r="BG13" s="1">
        <v>1.4007452955599025E-2</v>
      </c>
      <c r="BH13" s="1">
        <v>1.7260009003538777E-2</v>
      </c>
      <c r="BI13" s="1">
        <v>-2.0661750374396291E-2</v>
      </c>
      <c r="BJ13" s="1">
        <v>1.6662265235042415E-2</v>
      </c>
      <c r="BK13" s="1">
        <v>-1.2665539946318489E-2</v>
      </c>
      <c r="BL13" s="1">
        <v>3.98384191823907E-2</v>
      </c>
      <c r="BM13" s="1">
        <v>2.9124488693168639E-3</v>
      </c>
      <c r="BN13" s="1">
        <v>3.4146795171320368E-2</v>
      </c>
      <c r="BO13" s="1">
        <v>-2.418523816034519E-2</v>
      </c>
      <c r="BP13" s="1">
        <v>8.5575862114297241E-2</v>
      </c>
      <c r="BQ13" s="1">
        <v>2.5440892959147601E-2</v>
      </c>
      <c r="BR13" s="1">
        <v>3.6001363526216239E-2</v>
      </c>
      <c r="BS13" s="1">
        <v>-1.017169885639856E-2</v>
      </c>
      <c r="BT13" s="1">
        <v>-4.1920769731535268E-3</v>
      </c>
      <c r="BU13" s="1">
        <v>-1.2030959439909335E-2</v>
      </c>
      <c r="BV13" s="1">
        <v>3.1864432118691458E-2</v>
      </c>
      <c r="BW13" s="1">
        <v>2.7553613687485958E-2</v>
      </c>
      <c r="BX13" s="1">
        <v>6.3412116419029217E-3</v>
      </c>
      <c r="BY13" s="1">
        <v>8.1776577615125065E-2</v>
      </c>
      <c r="BZ13" s="1">
        <v>-1.1092599448414547E-2</v>
      </c>
      <c r="CA13" s="1">
        <v>2.2276617404736816E-2</v>
      </c>
      <c r="CB13" s="1">
        <v>2.7419228599671275E-2</v>
      </c>
      <c r="CC13" s="1">
        <v>-4.9589394443557474E-4</v>
      </c>
      <c r="CD13" s="1">
        <v>-3.0350573055739332E-2</v>
      </c>
      <c r="CE13" s="1">
        <v>1.217918057451114E-2</v>
      </c>
      <c r="CF13" s="1">
        <v>-1.1896547501127501E-2</v>
      </c>
      <c r="CG13" s="1">
        <v>9.9871470401176159E-4</v>
      </c>
      <c r="CH13" s="1">
        <v>-5.3157093123534947E-3</v>
      </c>
      <c r="CI13" s="1">
        <v>-2.6057881405197074E-3</v>
      </c>
      <c r="CJ13" s="1">
        <v>1.8956656897725344E-2</v>
      </c>
      <c r="CK13" s="1">
        <v>-2.1023144874040271E-2</v>
      </c>
      <c r="CL13" s="1">
        <v>4.3711587252697484E-2</v>
      </c>
      <c r="CM13" s="1">
        <v>4.7571946567299774E-2</v>
      </c>
      <c r="CN13" s="1">
        <v>2.0599550849002234E-2</v>
      </c>
      <c r="CO13" s="1">
        <v>-5.932734185885092E-2</v>
      </c>
      <c r="CP13" s="1">
        <v>8.2067713791870011E-3</v>
      </c>
      <c r="CQ13" s="1">
        <v>-3.8199253328499987E-2</v>
      </c>
      <c r="CR13" s="1">
        <v>-1.9745361790918712E-2</v>
      </c>
      <c r="CS13" s="1">
        <v>1.7707368288431887E-3</v>
      </c>
      <c r="CT13" s="1">
        <v>-8.9920310357873602E-3</v>
      </c>
      <c r="CU13" s="1">
        <v>-5.2658213158295305E-3</v>
      </c>
      <c r="CV13" s="164"/>
    </row>
    <row r="14" spans="1:100" ht="15" thickBot="1" x14ac:dyDescent="0.4">
      <c r="A14" s="170" t="s">
        <v>77</v>
      </c>
      <c r="B14" s="166">
        <f t="array" ref="B14">PRODUCT(1+B2:B13)</f>
        <v>1.0102263577748074</v>
      </c>
      <c r="C14" s="166">
        <f t="array" ref="C14">PRODUCT(1+C2:C13)</f>
        <v>1.1305515727560727</v>
      </c>
      <c r="D14" s="166">
        <f t="array" ref="D14">PRODUCT(1+D2:D13)</f>
        <v>1.1205017182171499</v>
      </c>
      <c r="E14" s="166">
        <f t="array" ref="E14">PRODUCT(1+E2:E13)</f>
        <v>0.90915100040543584</v>
      </c>
      <c r="F14" s="166">
        <f t="array" ref="F14">PRODUCT(1+F2:F13)</f>
        <v>0.83737263500487857</v>
      </c>
      <c r="G14" s="166">
        <f t="array" ref="G14">PRODUCT(1+G2:G13)</f>
        <v>1.1319751651946559</v>
      </c>
      <c r="H14" s="166">
        <f t="array" ref="H14">PRODUCT(1+H2:H13)</f>
        <v>1.106859360152203</v>
      </c>
      <c r="I14" s="166">
        <f t="array" ref="I14">PRODUCT(1+I2:I13)</f>
        <v>1.0845665358413457</v>
      </c>
      <c r="J14" s="166">
        <f t="array" ref="J14">PRODUCT(1+J2:J13)</f>
        <v>1.0912777694576408</v>
      </c>
      <c r="K14" s="166">
        <f t="array" ref="K14">PRODUCT(1+K2:K13)</f>
        <v>1.1864570534627008</v>
      </c>
      <c r="L14" s="166">
        <f t="array" ref="L14">PRODUCT(1+L2:L13)</f>
        <v>1.2180877984024325</v>
      </c>
      <c r="M14" s="166">
        <f t="array" ref="M14">PRODUCT(1+M2:M13)</f>
        <v>1.039847867562006</v>
      </c>
      <c r="N14" s="166">
        <f t="array" ref="N14">PRODUCT(1+N2:N13)</f>
        <v>1.139651119146319</v>
      </c>
      <c r="O14" s="166">
        <f t="array" ref="O14">PRODUCT(1+O2:O13)</f>
        <v>1.1295621949451786</v>
      </c>
      <c r="P14" s="166">
        <f t="array" ref="P14">PRODUCT(1+P2:P13)</f>
        <v>1.0357377087215394</v>
      </c>
      <c r="Q14" s="166">
        <f t="array" ref="Q14">PRODUCT(1+Q2:Q13)</f>
        <v>1.2448242131060872</v>
      </c>
      <c r="R14" s="166">
        <f t="array" ref="R14">PRODUCT(1+R2:R13)</f>
        <v>1.1812784908449925</v>
      </c>
      <c r="S14" s="166">
        <f t="array" ref="S14">PRODUCT(1+S2:S13)</f>
        <v>0.87214000256901225</v>
      </c>
      <c r="T14" s="166">
        <f t="array" ref="T14">PRODUCT(1+T2:T13)</f>
        <v>0.86818960089573449</v>
      </c>
      <c r="U14" s="166">
        <f t="array" ref="U14">PRODUCT(1+U2:U13)</f>
        <v>1.2204833437586493</v>
      </c>
      <c r="V14" s="166">
        <f t="array" ref="V14">PRODUCT(1+V2:V13)</f>
        <v>1.1319828535150427</v>
      </c>
      <c r="W14" s="166">
        <f t="array" ref="W14">PRODUCT(1+W2:W13)</f>
        <v>1.0720304505716483</v>
      </c>
      <c r="X14" s="166">
        <f t="array" ref="X14">PRODUCT(1+X2:X13)</f>
        <v>1.1372732332715421</v>
      </c>
      <c r="Y14" s="166">
        <f t="array" ref="Y14">PRODUCT(1+Y2:Y13)</f>
        <v>1.0652826580706949</v>
      </c>
      <c r="Z14" s="166">
        <f t="array" ref="Z14">PRODUCT(1+Z2:Z13)</f>
        <v>1.1378042675127915</v>
      </c>
      <c r="AA14" s="166">
        <f t="array" ref="AA14">PRODUCT(1+AA2:AA13)</f>
        <v>1.2340626348379378</v>
      </c>
      <c r="AB14" s="166">
        <f t="array" ref="AB14">PRODUCT(1+AB2:AB13)</f>
        <v>0.99124788531811669</v>
      </c>
      <c r="AC14" s="166">
        <f t="array" ref="AC14">PRODUCT(1+AC2:AC13)</f>
        <v>1.0117344923048806</v>
      </c>
      <c r="AD14" s="166">
        <f t="array" ref="AD14">PRODUCT(1+AD2:AD13)</f>
        <v>1.0493233811127147</v>
      </c>
      <c r="AE14" s="166">
        <f t="array" ref="AE14">PRODUCT(1+AE2:AE13)</f>
        <v>1.1684486936247596</v>
      </c>
      <c r="AF14" s="166">
        <f t="array" ref="AF14">PRODUCT(1+AF2:AF13)</f>
        <v>1.0170883427495336</v>
      </c>
      <c r="AG14" s="166">
        <f t="array" ref="AG14">PRODUCT(1+AG2:AG13)</f>
        <v>1.2661529717291045</v>
      </c>
      <c r="AH14" s="166">
        <f t="array" ref="AH14">PRODUCT(1+AH2:AH13)</f>
        <v>1.2098946384002305</v>
      </c>
      <c r="AI14" s="166">
        <f t="array" ref="AI14">PRODUCT(1+AI2:AI13)</f>
        <v>0.97188075805052154</v>
      </c>
      <c r="AJ14" s="166">
        <f t="array" ref="AJ14">PRODUCT(1+AJ2:AJ13)</f>
        <v>1.2583936849847999</v>
      </c>
      <c r="AK14" s="166">
        <f t="array" ref="AK14">PRODUCT(1+AK2:AK13)</f>
        <v>1.2181414991215112</v>
      </c>
      <c r="AL14" s="166">
        <f t="array" ref="AL14">PRODUCT(1+AL2:AL13)</f>
        <v>1.3312887613830486</v>
      </c>
      <c r="AM14" s="166">
        <f t="array" ref="AM14">PRODUCT(1+AM2:AM13)</f>
        <v>1.1189193090841918</v>
      </c>
      <c r="AN14" s="166">
        <f t="array" ref="AN14">PRODUCT(1+AN2:AN13)</f>
        <v>1.0857134294014701</v>
      </c>
      <c r="AO14" s="166">
        <f t="array" ref="AO14">PRODUCT(1+AO2:AO13)</f>
        <v>1.0108077983179138</v>
      </c>
      <c r="AP14" s="166">
        <f t="array" ref="AP14">PRODUCT(1+AP2:AP13)</f>
        <v>1.076645448832793</v>
      </c>
      <c r="AQ14" s="166">
        <f t="array" ref="AQ14">PRODUCT(1+AQ2:AQ13)</f>
        <v>1.1644604033767185</v>
      </c>
      <c r="AR14" s="166">
        <f t="array" ref="AR14">PRODUCT(1+AR2:AR13)</f>
        <v>1.0580379107458393</v>
      </c>
      <c r="AS14" s="166">
        <f t="array" ref="AS14">PRODUCT(1+AS2:AS13)</f>
        <v>1.0446372263435315</v>
      </c>
      <c r="AT14" s="166">
        <f t="array" ref="AT14">PRODUCT(1+AT2:AT13)</f>
        <v>1.0823873287804637</v>
      </c>
      <c r="AU14" s="166">
        <f t="array" ref="AU14">PRODUCT(1+AU2:AU13)</f>
        <v>1.0773001546484351</v>
      </c>
      <c r="AV14" s="166">
        <f t="array" ref="AV14">PRODUCT(1+AV2:AV13)</f>
        <v>0.9714720258851447</v>
      </c>
      <c r="AW14" s="166">
        <f t="array" ref="AW14">PRODUCT(1+AW2:AW13)</f>
        <v>1.0307906924039425</v>
      </c>
      <c r="AX14" s="166">
        <f t="array" ref="AX14">PRODUCT(1+AX2:AX13)</f>
        <v>1.0433441847920961</v>
      </c>
      <c r="AY14" s="166">
        <f t="array" ref="AY14">PRODUCT(1+AY2:AY13)</f>
        <v>1.1205453097207032</v>
      </c>
      <c r="AZ14" s="166">
        <f t="array" ref="AZ14">PRODUCT(1+AZ2:AZ13)</f>
        <v>1.3642845021426226</v>
      </c>
      <c r="BA14" s="166">
        <f t="array" ref="BA14">PRODUCT(1+BA2:BA13)</f>
        <v>1.0767215615149479</v>
      </c>
      <c r="BB14" s="166">
        <f t="array" ref="BB14">PRODUCT(1+BB2:BB13)</f>
        <v>1.0415038523886349</v>
      </c>
      <c r="BC14" s="166">
        <f t="array" ref="BC14">PRODUCT(1+BC2:BC13)</f>
        <v>1.2920964502916128</v>
      </c>
      <c r="BD14" s="166">
        <f t="array" ref="BD14">PRODUCT(1+BD2:BD13)</f>
        <v>1.172391117687039</v>
      </c>
      <c r="BE14" s="166">
        <f t="array" ref="BE14">PRODUCT(1+BE2:BE13)</f>
        <v>1.2838267274660344</v>
      </c>
      <c r="BF14" s="166">
        <f t="array" ref="BF14">PRODUCT(1+BF2:BF13)</f>
        <v>1.2104572885783693</v>
      </c>
      <c r="BG14" s="166">
        <f t="array" ref="BG14">PRODUCT(1+BG2:BG13)</f>
        <v>1.0927056984383254</v>
      </c>
      <c r="BH14" s="166">
        <f t="array" ref="BH14">PRODUCT(1+BH2:BH13)</f>
        <v>1.0581465147531164</v>
      </c>
      <c r="BI14" s="166">
        <f t="array" ref="BI14">PRODUCT(1+BI2:BI13)</f>
        <v>1.117624132382627</v>
      </c>
      <c r="BJ14" s="166">
        <f t="array" ref="BJ14">PRODUCT(1+BJ2:BJ13)</f>
        <v>1.2707554178330356</v>
      </c>
      <c r="BK14" s="166">
        <f t="array" ref="BK14">PRODUCT(1+BK2:BK13)</f>
        <v>1.0834675530241296</v>
      </c>
      <c r="BL14" s="166">
        <f t="array" ref="BL14">PRODUCT(1+BL2:BL13)</f>
        <v>1.0794890817471241</v>
      </c>
      <c r="BM14" s="166">
        <f t="array" ref="BM14">PRODUCT(1+BM2:BM13)</f>
        <v>1.0578488736840965</v>
      </c>
      <c r="BN14" s="166">
        <f t="array" ref="BN14">PRODUCT(1+BN2:BN13)</f>
        <v>1.1014622464968749</v>
      </c>
      <c r="BO14" s="166">
        <f t="array" ref="BO14">PRODUCT(1+BO2:BO13)</f>
        <v>1.0746920592691149</v>
      </c>
      <c r="BP14" s="166">
        <f t="array" ref="BP14">PRODUCT(1+BP2:BP13)</f>
        <v>1.2524794633695182</v>
      </c>
      <c r="BQ14" s="166">
        <f t="array" ref="BQ14">PRODUCT(1+BQ2:BQ13)</f>
        <v>1.1584569288780222</v>
      </c>
      <c r="BR14" s="166">
        <f t="array" ref="BR14">PRODUCT(1+BR2:BR13)</f>
        <v>0.99646590395705126</v>
      </c>
      <c r="BS14" s="166">
        <f t="array" ref="BS14">PRODUCT(1+BS2:BS13)</f>
        <v>1.1199850174910961</v>
      </c>
      <c r="BT14" s="166">
        <f t="array" ref="BT14">PRODUCT(1+BT2:BT13)</f>
        <v>1.1168458614803489</v>
      </c>
      <c r="BU14" s="166">
        <f t="array" ref="BU14">PRODUCT(1+BU2:BU13)</f>
        <v>1.0146878163126987</v>
      </c>
      <c r="BV14" s="166">
        <f t="array" ref="BV14">PRODUCT(1+BV2:BV13)</f>
        <v>1.0958007088861677</v>
      </c>
      <c r="BW14" s="166">
        <f t="array" ref="BW14">PRODUCT(1+BW2:BW13)</f>
        <v>1.0438972253688328</v>
      </c>
      <c r="BX14" s="166">
        <f t="array" ref="BX14">PRODUCT(1+BX2:BX13)</f>
        <v>1.0668440851663537</v>
      </c>
      <c r="BY14" s="166">
        <f t="array" ref="BY14">PRODUCT(1+BY2:BY13)</f>
        <v>1.0734126198235669</v>
      </c>
      <c r="BZ14" s="166">
        <f t="array" ref="BZ14">PRODUCT(1+BZ2:BZ13)</f>
        <v>1.2789873809200494</v>
      </c>
      <c r="CA14" s="166">
        <f t="array" ref="CA14">PRODUCT(1+CA2:CA13)</f>
        <v>1.0065009873420367</v>
      </c>
      <c r="CB14" s="166">
        <f t="array" ref="CB14">PRODUCT(1+CB2:CB13)</f>
        <v>1.0177555364566178</v>
      </c>
      <c r="CC14" s="166">
        <f t="array" ref="CC14">PRODUCT(1+CC2:CC13)</f>
        <v>1.3197580820856609</v>
      </c>
      <c r="CD14" s="166">
        <f t="array" ref="CD14">PRODUCT(1+CD2:CD13)</f>
        <v>0.9889504373314788</v>
      </c>
      <c r="CE14" s="166">
        <f t="array" ref="CE14">PRODUCT(1+CE2:CE13)</f>
        <v>1.1693967075478908</v>
      </c>
      <c r="CF14" s="166">
        <f t="array" ref="CF14">PRODUCT(1+CF2:CF13)</f>
        <v>1.1506025299559177</v>
      </c>
      <c r="CG14" s="166">
        <f t="array" ref="CG14">PRODUCT(1+CG2:CG13)</f>
        <v>1.0299777501122567</v>
      </c>
      <c r="CH14" s="166">
        <f t="array" ref="CH14">PRODUCT(1+CH2:CH13)</f>
        <v>1.1579361853923476</v>
      </c>
      <c r="CI14" s="166">
        <f t="array" ref="CI14">PRODUCT(1+CI2:CI13)</f>
        <v>0.97518826882490728</v>
      </c>
      <c r="CJ14" s="166">
        <f t="array" ref="CJ14">PRODUCT(1+CJ2:CJ13)</f>
        <v>1.100858952601558</v>
      </c>
      <c r="CK14" s="166">
        <f t="array" ref="CK14">PRODUCT(1+CK2:CK13)</f>
        <v>1.1332593029482467</v>
      </c>
      <c r="CL14" s="166">
        <f t="array" ref="CL14">PRODUCT(1+CL2:CL13)</f>
        <v>1.1440925074208907</v>
      </c>
      <c r="CM14" s="166">
        <f t="array" ref="CM14">PRODUCT(1+CM2:CM13)</f>
        <v>1.0018765744171825</v>
      </c>
      <c r="CN14" s="166">
        <f t="array" ref="CN14">PRODUCT(1+CN2:CN13)</f>
        <v>1.0278681793680324</v>
      </c>
      <c r="CO14" s="166">
        <f t="array" ref="CO14">PRODUCT(1+CO2:CO13)</f>
        <v>0.82086999488552759</v>
      </c>
      <c r="CP14" s="166">
        <f t="array" ref="CP14">PRODUCT(1+CP2:CP13)</f>
        <v>1.0327270522355581</v>
      </c>
      <c r="CQ14" s="166">
        <f t="array" ref="CQ14">PRODUCT(1+CQ2:CQ13)</f>
        <v>1.0889220709438463</v>
      </c>
      <c r="CR14" s="166">
        <f t="array" ref="CR14">PRODUCT(1+CR2:CR13)</f>
        <v>1.0051438137258299</v>
      </c>
      <c r="CS14" s="166">
        <f t="array" ref="CS14">PRODUCT(1+CS2:CS13)</f>
        <v>1.0176557414362115</v>
      </c>
      <c r="CT14" s="166">
        <f t="array" ref="CT14">PRODUCT(1+CT2:CT13)</f>
        <v>1.0311698596155052</v>
      </c>
      <c r="CU14" s="166">
        <f t="array" ref="CU14">PRODUCT(1+CU2:CU13)</f>
        <v>1.1889984595721326</v>
      </c>
      <c r="CV14" s="166">
        <f t="array" ref="CV14">PRODUCT(1+CV2:CV13)</f>
        <v>1</v>
      </c>
    </row>
    <row r="16" spans="1:100" x14ac:dyDescent="0.35">
      <c r="CV16"/>
    </row>
    <row r="17" spans="99:100" x14ac:dyDescent="0.35">
      <c r="CV17"/>
    </row>
    <row r="18" spans="99:100" x14ac:dyDescent="0.35">
      <c r="CV18"/>
    </row>
    <row r="19" spans="99:100" x14ac:dyDescent="0.35">
      <c r="CV19"/>
    </row>
    <row r="20" spans="99:100" x14ac:dyDescent="0.35">
      <c r="CV20"/>
    </row>
    <row r="21" spans="99:100" x14ac:dyDescent="0.35">
      <c r="CV21"/>
    </row>
    <row r="28" spans="99:100" x14ac:dyDescent="0.35">
      <c r="CU28" s="1">
        <v>-4.6391872834823005E-3</v>
      </c>
      <c r="CV28" s="1">
        <v>-3.1630137488956539E-3</v>
      </c>
    </row>
    <row r="29" spans="99:100" x14ac:dyDescent="0.35">
      <c r="CU29" s="1">
        <v>-8.1644200522477534E-3</v>
      </c>
      <c r="CV29" s="1">
        <v>2.3534534287145664E-2</v>
      </c>
    </row>
    <row r="30" spans="99:100" x14ac:dyDescent="0.35">
      <c r="CU30" s="1">
        <v>-1.1588880506489724E-2</v>
      </c>
      <c r="CV30" s="1">
        <v>3.1975967224166152E-2</v>
      </c>
    </row>
    <row r="31" spans="99:100" x14ac:dyDescent="0.35">
      <c r="CU31" s="1">
        <v>6.6399436817507276E-2</v>
      </c>
      <c r="CV31" s="1">
        <v>3.5120917274902567E-2</v>
      </c>
    </row>
    <row r="32" spans="99:100" x14ac:dyDescent="0.35">
      <c r="CU32" s="1">
        <v>1.3956213624316365E-2</v>
      </c>
      <c r="CV32" s="1">
        <v>9.3710303167608318E-3</v>
      </c>
    </row>
    <row r="33" spans="99:100" x14ac:dyDescent="0.35">
      <c r="CU33" s="1">
        <v>3.921657251915564E-2</v>
      </c>
      <c r="CV33" s="1">
        <v>-1.3436040070000432E-2</v>
      </c>
    </row>
    <row r="34" spans="99:100" x14ac:dyDescent="0.35">
      <c r="CU34" s="1">
        <v>5.5073072103259497E-3</v>
      </c>
      <c r="CV34" s="1">
        <v>-4.2304538642580762E-2</v>
      </c>
    </row>
    <row r="35" spans="99:100" x14ac:dyDescent="0.35">
      <c r="CU35" s="1">
        <v>6.0102790352508186E-2</v>
      </c>
      <c r="CV35" s="1">
        <v>9.8239053418886779E-3</v>
      </c>
    </row>
    <row r="36" spans="99:100" x14ac:dyDescent="0.35">
      <c r="CU36" s="1">
        <v>1.0240224841259247E-2</v>
      </c>
      <c r="CV36" s="1">
        <v>3.2085538587143546E-2</v>
      </c>
    </row>
    <row r="37" spans="99:100" x14ac:dyDescent="0.35">
      <c r="CU37" s="1">
        <v>1.0366721546767984E-2</v>
      </c>
      <c r="CV37" s="1">
        <v>2.217367974400155E-2</v>
      </c>
    </row>
    <row r="38" spans="99:100" x14ac:dyDescent="0.35">
      <c r="CU38" s="1">
        <v>1.9229761730055446E-3</v>
      </c>
      <c r="CV38" s="1">
        <v>3.053812850304926E-2</v>
      </c>
    </row>
    <row r="39" spans="99:100" x14ac:dyDescent="0.35">
      <c r="CU39" s="1">
        <v>-5.2658213158295305E-3</v>
      </c>
      <c r="CV39" s="1">
        <v>6.1976117884261425E-3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C6494-A6C6-4011-AC7D-67A173BFDE45}">
  <dimension ref="A1:C10"/>
  <sheetViews>
    <sheetView workbookViewId="0">
      <selection activeCell="C13" sqref="C13"/>
    </sheetView>
  </sheetViews>
  <sheetFormatPr defaultRowHeight="14.5" x14ac:dyDescent="0.35"/>
  <cols>
    <col min="1" max="1" width="24.26953125" customWidth="1"/>
    <col min="2" max="2" width="18.54296875" customWidth="1"/>
    <col min="3" max="3" width="18.6328125" customWidth="1"/>
  </cols>
  <sheetData>
    <row r="1" spans="1:3" ht="15" thickBot="1" x14ac:dyDescent="0.4">
      <c r="A1" s="173" t="s">
        <v>92</v>
      </c>
      <c r="B1" s="118" t="s">
        <v>94</v>
      </c>
      <c r="C1" s="119" t="s">
        <v>95</v>
      </c>
    </row>
    <row r="2" spans="1:3" ht="15" thickBot="1" x14ac:dyDescent="0.4">
      <c r="A2" s="174" t="s">
        <v>91</v>
      </c>
      <c r="B2" s="179">
        <f>Backtesting!I10</f>
        <v>1.29</v>
      </c>
      <c r="C2" s="175">
        <f>Backtesting!I16</f>
        <v>1.35</v>
      </c>
    </row>
    <row r="3" spans="1:3" ht="15" thickBot="1" x14ac:dyDescent="0.4">
      <c r="A3" s="174" t="s">
        <v>96</v>
      </c>
      <c r="B3" s="116">
        <f>MIN(Backtesting!C:C)</f>
        <v>-0.15322000000000002</v>
      </c>
      <c r="C3" s="183">
        <f>MIN(Backtesting!D:D)</f>
        <v>-0.12804699999999999</v>
      </c>
    </row>
    <row r="4" spans="1:3" ht="15" thickBot="1" x14ac:dyDescent="0.4">
      <c r="A4" s="174" t="s">
        <v>97</v>
      </c>
      <c r="B4" s="180">
        <f>Backtesting!I11</f>
        <v>7.4148319327731107E-3</v>
      </c>
      <c r="C4" s="176">
        <f>Backtesting!I17</f>
        <v>7.5502521008403356E-3</v>
      </c>
    </row>
    <row r="5" spans="1:3" ht="15" thickBot="1" x14ac:dyDescent="0.4">
      <c r="A5" s="174" t="s">
        <v>93</v>
      </c>
      <c r="B5" s="181">
        <f>Backtesting!I12</f>
        <v>2.9524182733366371E-2</v>
      </c>
      <c r="C5" s="177">
        <f>Backtesting!I18</f>
        <v>2.6774394866705756E-2</v>
      </c>
    </row>
    <row r="6" spans="1:3" ht="15" thickBot="1" x14ac:dyDescent="0.4">
      <c r="A6" s="174" t="s">
        <v>98</v>
      </c>
      <c r="B6" s="180">
        <f>Backtesting!I13</f>
        <v>8.1355932203389839E-2</v>
      </c>
      <c r="C6" s="176">
        <f>Backtesting!I19</f>
        <v>9.5249663476488167E-2</v>
      </c>
    </row>
    <row r="7" spans="1:3" ht="15" thickBot="1" x14ac:dyDescent="0.4">
      <c r="A7" s="174" t="s">
        <v>102</v>
      </c>
      <c r="B7" s="180">
        <f>PERCENTILE('Monte Carlo (Actual)'!F14:CV14,0.95)-1</f>
        <v>0.26493210535145684</v>
      </c>
      <c r="C7" s="176">
        <f>PERCENTILE('Monte Carlo (EWS)'!B14:CU14,0.95)-1</f>
        <v>0.27971328290194708</v>
      </c>
    </row>
    <row r="8" spans="1:3" ht="15" thickBot="1" x14ac:dyDescent="0.4">
      <c r="A8" s="174" t="s">
        <v>103</v>
      </c>
      <c r="B8" s="180">
        <f>PERCENTILE('Monte Carlo (Actual)'!B14:CV14,0.5)-1</f>
        <v>6.4406477741070445E-2</v>
      </c>
      <c r="C8" s="176">
        <f>PERCENTILE('Monte Carlo (EWS)'!B14:CU14,0.5)-1</f>
        <v>8.7317750172658304E-2</v>
      </c>
    </row>
    <row r="9" spans="1:3" ht="15" thickBot="1" x14ac:dyDescent="0.4">
      <c r="A9" s="174" t="s">
        <v>99</v>
      </c>
      <c r="B9" s="165">
        <f>PERCENTILE('Monte Carlo (Actual)'!B14:CV14,0.05)-1</f>
        <v>-8.7507821051398538E-2</v>
      </c>
      <c r="C9" s="9">
        <f>PERCENTILE('Monte Carlo (EWS)'!B14:CU14,0.05)-1</f>
        <v>-3.787612793681161E-2</v>
      </c>
    </row>
    <row r="10" spans="1:3" ht="15" thickBot="1" x14ac:dyDescent="0.4">
      <c r="A10" s="174" t="s">
        <v>100</v>
      </c>
      <c r="B10" s="182">
        <f>STDEV('Monte Carlo (Actual)'!B14:CV14)</f>
        <v>0.11505277550265154</v>
      </c>
      <c r="C10" s="178">
        <f>STDEV('Monte Carlo (EWS)'!B14:CU14)</f>
        <v>0.10455626676195492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Indicators</vt:lpstr>
      <vt:lpstr>Assets</vt:lpstr>
      <vt:lpstr>Normalisation</vt:lpstr>
      <vt:lpstr>Risk Score</vt:lpstr>
      <vt:lpstr>Stress Returns</vt:lpstr>
      <vt:lpstr>Portfolio Allocation</vt:lpstr>
      <vt:lpstr>Backtesting</vt:lpstr>
      <vt:lpstr>Monte Carlo (Actual)</vt:lpstr>
      <vt:lpstr>Monte Carlo (EWS)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SAHARAN</dc:creator>
  <cp:lastModifiedBy>ANURAG SAHARAN</cp:lastModifiedBy>
  <dcterms:created xsi:type="dcterms:W3CDTF">2026-03-07T11:21:17Z</dcterms:created>
  <dcterms:modified xsi:type="dcterms:W3CDTF">2026-03-08T20:46:21Z</dcterms:modified>
</cp:coreProperties>
</file>